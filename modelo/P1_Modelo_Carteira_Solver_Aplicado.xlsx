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644" tabRatio="500" activeTab="5"/>
  </bookViews>
  <sheets>
    <sheet name="1_CDI" sheetId="1" r:id="rId1"/>
    <sheet name="2_Selic" sheetId="2" r:id="rId2"/>
    <sheet name="3_IPCA" sheetId="3" r:id="rId3"/>
    <sheet name="4_Dolar" sheetId="4" r:id="rId4"/>
    <sheet name="5_Parametros" sheetId="5" r:id="rId5"/>
    <sheet name="6_Modelo" sheetId="6" r:id="rId6"/>
  </sheets>
  <definedNames>
    <definedName name="solver_adj" localSheetId="5" hidden="1">'6_Modelo'!$B$8:$E$8</definedName>
    <definedName name="solver_cvg" localSheetId="5" hidden="1">0.0001</definedName>
    <definedName name="solver_drv" localSheetId="5" hidden="1">2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lhs1" localSheetId="5" hidden="1">'6_Modelo'!$F$20</definedName>
    <definedName name="solver_lhs2" localSheetId="5" hidden="1">'6_Modelo'!$F$21</definedName>
    <definedName name="solver_lhs3" localSheetId="5" hidden="1">'6_Modelo'!$F$22</definedName>
    <definedName name="solver_lhs4" localSheetId="5" hidden="1">'6_Modelo'!$F$23</definedName>
    <definedName name="solver_lhs5" localSheetId="5" hidden="1">'6_Modelo'!$F$24</definedName>
    <definedName name="solver_lhs6" localSheetId="5" hidden="1">'6_Modelo'!$F$25</definedName>
    <definedName name="solver_lhs7" localSheetId="5" hidden="1">'6_Modelo'!$F$26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7</definedName>
    <definedName name="solver_nwt" localSheetId="5" hidden="1">1</definedName>
    <definedName name="solver_opt" localSheetId="5" hidden="1">'6_Modelo'!$C$15</definedName>
    <definedName name="solver_pre" localSheetId="5" hidden="1">0.000001</definedName>
    <definedName name="solver_rbv" localSheetId="5" hidden="1">2</definedName>
    <definedName name="solver_rel1" localSheetId="5" hidden="1">2</definedName>
    <definedName name="solver_rel2" localSheetId="5" hidden="1">3</definedName>
    <definedName name="solver_rel3" localSheetId="5" hidden="1">1</definedName>
    <definedName name="solver_rel4" localSheetId="5" hidden="1">3</definedName>
    <definedName name="solver_rel5" localSheetId="5" hidden="1">3</definedName>
    <definedName name="solver_rel6" localSheetId="5" hidden="1">1</definedName>
    <definedName name="solver_rel7" localSheetId="5" hidden="1">1</definedName>
    <definedName name="solver_rhs1" localSheetId="5" hidden="1">'6_Modelo'!$H$20</definedName>
    <definedName name="solver_rhs2" localSheetId="5" hidden="1">'6_Modelo'!$H$21</definedName>
    <definedName name="solver_rhs3" localSheetId="5" hidden="1">'6_Modelo'!$H$22</definedName>
    <definedName name="solver_rhs4" localSheetId="5" hidden="1">'6_Modelo'!$H$23</definedName>
    <definedName name="solver_rhs5" localSheetId="5" hidden="1">'6_Modelo'!$H$24</definedName>
    <definedName name="solver_rhs6" localSheetId="5" hidden="1">'6_Modelo'!$H$25</definedName>
    <definedName name="solver_rhs7" localSheetId="5" hidden="1">'6_Modelo'!$H$26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6" l="1"/>
  <c r="F25" i="6"/>
  <c r="I25" i="6" s="1"/>
  <c r="F24" i="6"/>
  <c r="I24" i="6" s="1"/>
  <c r="F23" i="6"/>
  <c r="I23" i="6" s="1"/>
  <c r="F22" i="6"/>
  <c r="I22" i="6" s="1"/>
  <c r="F21" i="6"/>
  <c r="I21" i="6" s="1"/>
  <c r="E9" i="6"/>
  <c r="D9" i="6"/>
  <c r="C9" i="6"/>
  <c r="B9" i="6"/>
  <c r="F8" i="6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5" i="4"/>
  <c r="H5" i="4" s="1"/>
  <c r="D8" i="5" s="1"/>
  <c r="E26" i="6" s="1"/>
  <c r="C4" i="4"/>
  <c r="H4" i="4" s="1"/>
  <c r="C8" i="5" s="1"/>
  <c r="E13" i="6" s="1"/>
  <c r="C6" i="3"/>
  <c r="C7" i="5" s="1"/>
  <c r="D13" i="6" s="1"/>
  <c r="H5" i="3"/>
  <c r="D7" i="5" s="1"/>
  <c r="D26" i="6" s="1"/>
  <c r="C5" i="3"/>
  <c r="C4" i="3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5" i="2"/>
  <c r="D6" i="5" s="1"/>
  <c r="C26" i="6" s="1"/>
  <c r="C4" i="2"/>
  <c r="C6" i="5" s="1"/>
  <c r="C13" i="6" s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4" i="1" s="1"/>
  <c r="C5" i="5" s="1"/>
  <c r="B13" i="6" s="1"/>
  <c r="C5" i="1"/>
  <c r="D5" i="5" s="1"/>
  <c r="B26" i="6" s="1"/>
  <c r="F26" i="6" l="1"/>
  <c r="I26" i="6" s="1"/>
  <c r="C15" i="6"/>
  <c r="C16" i="6" s="1"/>
</calcChain>
</file>

<file path=xl/sharedStrings.xml><?xml version="1.0" encoding="utf-8"?>
<sst xmlns="http://schemas.openxmlformats.org/spreadsheetml/2006/main" count="3324" uniqueCount="1418">
  <si>
    <t>CDI - Serie SGS 12 (taxa % ao dia)</t>
  </si>
  <si>
    <t>Coluna auxiliar: equivalente mensal da taxa diaria, com 21 dias uteis. Formula dada pelo enunciado.</t>
  </si>
  <si>
    <t>Retorno medio mensal (%)</t>
  </si>
  <si>
    <t>Risco - desvio-padrao (%)</t>
  </si>
  <si>
    <t>Data</t>
  </si>
  <si>
    <t>Valor (% a.d.)</t>
  </si>
  <si>
    <t>Equivalente mensal (%)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</si>
  <si>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</si>
  <si>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</si>
  <si>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</si>
  <si>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</si>
  <si>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</si>
  <si>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</si>
  <si>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</si>
  <si>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</si>
  <si>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</si>
  <si>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</si>
  <si>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</si>
  <si>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</si>
  <si>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</si>
  <si>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</si>
  <si>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</si>
  <si>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</si>
  <si>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</si>
  <si>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</si>
  <si>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</si>
  <si>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</si>
  <si>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</si>
  <si>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</si>
  <si>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</si>
  <si>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</si>
  <si>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</si>
  <si>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</si>
  <si>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</si>
  <si>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</si>
  <si>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</si>
  <si>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</si>
  <si>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</si>
  <si>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</si>
  <si>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</si>
  <si>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</si>
  <si>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</si>
  <si>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</si>
  <si>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</si>
  <si>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</si>
  <si>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</si>
  <si>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</si>
  <si>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</si>
  <si>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</si>
  <si>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</si>
  <si>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</si>
  <si>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</si>
  <si>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</si>
  <si>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</si>
  <si>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</si>
  <si>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</si>
  <si>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</si>
  <si>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</si>
  <si>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</si>
  <si>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</si>
  <si>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</si>
  <si>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</si>
  <si>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</si>
  <si>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</si>
  <si>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</si>
  <si>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</si>
  <si>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</si>
  <si>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</si>
  <si>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</si>
  <si>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</si>
  <si>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</si>
  <si>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</si>
  <si>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</si>
  <si>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</si>
  <si>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</si>
  <si>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</si>
  <si>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</si>
  <si>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</si>
  <si>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</si>
  <si>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</si>
  <si>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</si>
  <si>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</si>
  <si>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</si>
  <si>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</si>
  <si>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</si>
  <si>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</si>
  <si>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</si>
  <si>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</si>
  <si>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</si>
  <si>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</si>
  <si>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</si>
  <si>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</si>
  <si>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</si>
  <si>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</si>
  <si>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</si>
  <si>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</si>
  <si>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</si>
  <si>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</si>
  <si>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</si>
  <si>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</si>
  <si>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</si>
  <si>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</si>
  <si>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</si>
  <si>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</si>
  <si>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</si>
  <si>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</si>
  <si>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</si>
  <si>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</si>
  <si>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</si>
  <si>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</si>
  <si>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</si>
  <si>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</si>
  <si>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</si>
  <si>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</si>
  <si>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</si>
  <si>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</si>
  <si>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</si>
  <si>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</si>
  <si>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</si>
  <si>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</si>
  <si>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</si>
  <si>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</si>
  <si>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</si>
  <si>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</si>
  <si>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</si>
  <si>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</si>
  <si>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</si>
  <si>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</si>
  <si>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</si>
  <si>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</si>
  <si>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</si>
  <si>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</si>
  <si>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</si>
  <si>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</si>
  <si>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</si>
  <si>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</si>
  <si>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</si>
  <si>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</si>
  <si>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</si>
  <si>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</si>
  <si>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</si>
  <si>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</si>
  <si>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</si>
  <si>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</si>
  <si>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</si>
  <si>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</si>
  <si>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</si>
  <si>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</si>
  <si>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</si>
  <si>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</si>
  <si>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</si>
  <si>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</si>
  <si>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</si>
  <si>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</si>
  <si>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</si>
  <si>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</si>
  <si>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</si>
  <si>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</si>
  <si>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</si>
  <si>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</si>
  <si>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</si>
  <si>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</si>
  <si>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</si>
  <si>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</si>
  <si>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</si>
  <si>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</si>
  <si>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</si>
  <si>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</si>
  <si>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</si>
  <si>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</si>
  <si>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</si>
  <si>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</si>
  <si>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</si>
  <si>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</si>
  <si>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</si>
  <si>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</si>
  <si>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</si>
  <si>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</si>
  <si>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</si>
  <si>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</si>
  <si>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</si>
  <si>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</si>
  <si>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</si>
  <si>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</si>
  <si>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</si>
  <si>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</si>
  <si>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</si>
  <si>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</si>
  <si>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</si>
  <si>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</si>
  <si>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</si>
  <si>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</si>
  <si>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</si>
  <si>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</si>
  <si>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</si>
  <si>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</si>
  <si>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</si>
  <si>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</si>
  <si>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</si>
  <si>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</si>
  <si>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</si>
  <si>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</si>
  <si>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</si>
  <si>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</si>
  <si>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</si>
  <si>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</si>
  <si>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</si>
  <si>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</si>
  <si>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</si>
  <si>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</si>
  <si>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</si>
  <si>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</si>
  <si>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</si>
  <si>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</si>
  <si>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</si>
  <si>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</si>
  <si>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</si>
  <si>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</si>
  <si>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</si>
  <si>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</si>
  <si>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</si>
  <si>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</si>
  <si>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</si>
  <si>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</si>
  <si>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</si>
  <si>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</si>
  <si>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</si>
  <si>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</si>
  <si>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</si>
  <si>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</si>
  <si>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</si>
  <si>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</si>
  <si>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</si>
  <si>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</si>
  <si>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</si>
  <si>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</si>
  <si>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</si>
  <si>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</si>
  <si>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</si>
  <si>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</si>
  <si>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</si>
  <si>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</si>
  <si>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</si>
  <si>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</si>
  <si>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</si>
  <si>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</si>
  <si>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</si>
  <si>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</si>
  <si>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</si>
  <si>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</si>
  <si>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</si>
  <si>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</si>
  <si>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</si>
  <si>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</si>
  <si>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</si>
  <si>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</si>
  <si>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</si>
  <si>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</si>
  <si>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</si>
  <si>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</si>
  <si>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</si>
  <si>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</si>
  <si>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</si>
  <si>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</si>
  <si>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</si>
  <si>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</si>
  <si>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</si>
  <si>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</si>
  <si>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</si>
  <si>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</si>
  <si>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</si>
  <si>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</si>
  <si>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</si>
  <si>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</si>
  <si>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</si>
  <si>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</si>
  <si>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</si>
  <si>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</si>
  <si>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</si>
  <si>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</si>
  <si>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</si>
  <si>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</si>
  <si>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</si>
  <si>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</si>
  <si>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</si>
  <si>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</si>
  <si>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</si>
  <si>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</si>
  <si>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</si>
  <si>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</si>
  <si>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</si>
  <si>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</si>
  <si>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</si>
  <si>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</si>
  <si>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</si>
  <si>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</si>
  <si>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</si>
  <si>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</si>
  <si>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</si>
  <si>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</si>
  <si>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</si>
  <si>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</si>
  <si>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</si>
  <si>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</si>
  <si>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</si>
  <si>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</si>
  <si>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</si>
  <si>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</si>
  <si>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</si>
  <si>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</si>
  <si>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</si>
  <si>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</si>
  <si>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</si>
  <si>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</si>
  <si>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</si>
  <si>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</si>
  <si>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</si>
  <si>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</si>
  <si>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</si>
  <si>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</si>
  <si>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</si>
  <si>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</si>
  <si>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</si>
  <si>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</si>
  <si>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</si>
  <si>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</si>
  <si>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</si>
  <si>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</si>
  <si>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</si>
  <si>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</si>
  <si>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</si>
  <si>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</si>
  <si>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</si>
  <si>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</si>
  <si>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</si>
  <si>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</si>
  <si>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</si>
  <si>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</si>
  <si>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</si>
  <si>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</si>
  <si>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</si>
  <si>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</si>
  <si>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</si>
  <si>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</si>
  <si>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</si>
  <si>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</si>
  <si>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</si>
  <si>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</si>
  <si>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</si>
  <si>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</si>
  <si>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</si>
  <si>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</si>
  <si>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</si>
  <si>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</si>
  <si>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</si>
  <si>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</si>
  <si>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</si>
  <si>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</si>
  <si>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</si>
  <si>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</si>
  <si>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</si>
  <si>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</si>
  <si>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</si>
  <si>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</si>
  <si>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</si>
  <si>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</si>
  <si>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</si>
  <si>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</si>
  <si>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</si>
  <si>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</si>
  <si>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</si>
  <si>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</si>
  <si>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</si>
  <si>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</si>
  <si>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</si>
  <si>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</si>
  <si>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</si>
  <si>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</si>
  <si>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</si>
  <si>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</si>
  <si>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</si>
  <si>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</si>
  <si>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</si>
  <si>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</si>
  <si>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</si>
  <si>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</si>
  <si>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</si>
  <si>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</si>
  <si>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</si>
  <si>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</si>
  <si>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</si>
  <si>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</si>
  <si>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</si>
  <si>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</si>
  <si>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</si>
  <si>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</si>
  <si>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</si>
  <si>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</si>
  <si>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</si>
  <si>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</si>
  <si>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</si>
  <si>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</si>
  <si>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</si>
  <si>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</si>
  <si>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</si>
  <si>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</si>
  <si>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</si>
  <si>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</si>
  <si>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</si>
  <si>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</si>
  <si>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</si>
  <si>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</si>
  <si>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</si>
  <si>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</si>
  <si>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</si>
  <si>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</si>
  <si>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</si>
  <si>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</si>
  <si>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</si>
  <si>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</si>
  <si>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</si>
  <si>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</si>
  <si>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</si>
  <si>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</si>
  <si>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</si>
  <si>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</si>
  <si>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</si>
  <si>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</si>
  <si>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</si>
  <si>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</si>
  <si>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</si>
  <si>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</si>
  <si>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</si>
  <si>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</si>
  <si>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</si>
  <si>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</si>
  <si>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</si>
  <si>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</si>
  <si>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</si>
  <si>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</si>
  <si>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</si>
  <si>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</si>
  <si>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</si>
  <si>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</si>
  <si>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</si>
  <si>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</si>
  <si>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</si>
  <si>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</si>
  <si>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</si>
  <si>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</si>
  <si>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</si>
  <si>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</si>
  <si>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</si>
  <si>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</si>
  <si>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</si>
  <si>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</si>
  <si>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</si>
  <si>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</si>
  <si>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</si>
  <si>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</si>
  <si>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</si>
  <si>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</si>
  <si>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</si>
  <si>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</si>
  <si>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</si>
  <si>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</si>
  <si>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</si>
  <si>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</si>
  <si>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</si>
  <si>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</si>
  <si>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</si>
  <si>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</si>
  <si>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</si>
  <si>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</si>
  <si>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</si>
  <si>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</si>
  <si>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</si>
  <si>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</si>
  <si>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</si>
  <si>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</si>
  <si>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</si>
  <si>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</si>
  <si>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</si>
  <si>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</si>
  <si>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</si>
  <si>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</si>
  <si>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</si>
  <si>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</si>
  <si>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</si>
  <si>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</si>
  <si>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</si>
  <si>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</si>
  <si>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</si>
  <si>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</si>
  <si>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</si>
  <si>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</si>
  <si>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</si>
  <si>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</si>
  <si>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</si>
  <si>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</si>
  <si>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</si>
  <si>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</si>
  <si>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</si>
  <si>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</si>
  <si>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</si>
  <si>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</si>
  <si>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</si>
  <si>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</si>
  <si>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</si>
  <si>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</si>
  <si>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</si>
  <si>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</si>
  <si>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</si>
  <si>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</si>
  <si>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</si>
  <si>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</si>
  <si>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</si>
  <si>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</si>
  <si>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</si>
  <si>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</si>
  <si>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</si>
  <si>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</si>
  <si>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</si>
  <si>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</si>
  <si>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</si>
  <si>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</si>
  <si>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</si>
  <si>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</si>
  <si>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</si>
  <si>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</si>
  <si>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</si>
  <si>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</si>
  <si>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</si>
  <si>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</si>
  <si>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</si>
  <si>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</si>
  <si>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</si>
  <si>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</si>
  <si>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</si>
  <si>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</si>
  <si>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</si>
  <si>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</si>
  <si>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</si>
  <si>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</si>
  <si>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</si>
  <si>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</si>
  <si>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</si>
  <si>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</si>
  <si>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</si>
  <si>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</si>
  <si>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</si>
  <si>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</si>
  <si>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</si>
  <si>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</si>
  <si>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</si>
  <si>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</si>
  <si>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</si>
  <si>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</si>
  <si>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</si>
  <si>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</si>
  <si>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</si>
  <si>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</si>
  <si>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</si>
  <si>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</si>
  <si>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</si>
  <si>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</si>
  <si>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</si>
  <si>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</si>
  <si>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</si>
  <si>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</si>
  <si>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</si>
  <si>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</si>
  <si>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</si>
  <si>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</si>
  <si>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</si>
  <si>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</si>
  <si>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</si>
  <si>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</si>
  <si>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</si>
  <si>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</si>
  <si>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</si>
  <si>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</si>
  <si>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</si>
  <si>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</si>
  <si>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</si>
  <si>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</si>
  <si>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</si>
  <si>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</si>
  <si>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</si>
  <si>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</si>
  <si>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</si>
  <si>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</si>
  <si>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</si>
  <si>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</si>
  <si>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</si>
  <si>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</si>
  <si>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</si>
  <si>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</si>
  <si>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</si>
  <si>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</si>
  <si>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</si>
  <si>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</si>
  <si>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</si>
  <si>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</si>
  <si>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</si>
  <si>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</si>
  <si>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</si>
  <si>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</si>
  <si>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</si>
  <si>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</si>
  <si>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</si>
  <si>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</si>
  <si>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</si>
  <si>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</si>
  <si>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</si>
  <si>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</si>
  <si>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</si>
  <si>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</si>
  <si>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</si>
  <si>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</si>
  <si>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</si>
  <si>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</si>
  <si>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</si>
  <si>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</si>
  <si>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</si>
  <si>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</si>
  <si>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</si>
  <si>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</si>
  <si>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</si>
  <si>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</si>
  <si>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</si>
  <si>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</si>
  <si>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</si>
  <si>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</si>
  <si>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</si>
  <si>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</si>
  <si>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</si>
  <si>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</si>
  <si>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</si>
  <si>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</si>
  <si>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</si>
  <si>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</si>
  <si>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</si>
  <si>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</si>
  <si>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</si>
  <si>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</si>
  <si>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</si>
  <si>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</si>
  <si>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</si>
  <si>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</si>
  <si>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</si>
  <si>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</si>
  <si>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</si>
  <si>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</si>
  <si>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</si>
  <si>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</si>
  <si>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</si>
  <si>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</si>
  <si>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</si>
  <si>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</si>
  <si>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</si>
  <si>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</si>
  <si>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</si>
  <si>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</si>
  <si>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</si>
  <si>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</si>
  <si>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</si>
  <si>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</si>
  <si>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</si>
  <si>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</si>
  <si>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</si>
  <si>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</si>
  <si>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</si>
  <si>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</si>
  <si>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</si>
  <si>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</si>
  <si>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</si>
  <si>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</si>
  <si>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</si>
  <si>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</si>
  <si>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</si>
  <si>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</si>
  <si>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</si>
  <si>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</si>
  <si>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</si>
  <si>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</si>
  <si>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</si>
  <si>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</si>
  <si>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</si>
  <si>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</si>
  <si>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</si>
  <si>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</si>
  <si>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</si>
  <si>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</si>
  <si>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</si>
  <si>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</si>
  <si>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</si>
  <si>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</si>
  <si>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</si>
  <si>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</si>
  <si>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</si>
  <si>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</si>
  <si>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</si>
  <si>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</si>
  <si>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</si>
  <si>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</si>
  <si>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</si>
  <si>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</si>
  <si>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</si>
  <si>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</si>
  <si>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</si>
  <si>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</si>
  <si>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</si>
  <si>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</si>
  <si>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</si>
  <si>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</si>
  <si>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</si>
  <si>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</si>
  <si>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</si>
  <si>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</si>
  <si>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</si>
  <si>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</si>
  <si>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</si>
  <si>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</si>
  <si>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</si>
  <si>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</si>
  <si>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</si>
  <si>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</si>
  <si>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</si>
  <si>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</si>
  <si>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</si>
  <si>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</si>
  <si>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</si>
  <si>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</si>
  <si>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</si>
  <si>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</si>
  <si>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</si>
  <si>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</si>
  <si>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</si>
  <si>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</si>
  <si>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</si>
  <si>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</si>
  <si>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</si>
  <si>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</si>
  <si>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</si>
  <si>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</si>
  <si>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</si>
  <si>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</si>
  <si>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</si>
  <si>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</si>
  <si>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</si>
  <si>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</si>
  <si>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</si>
  <si>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</si>
  <si>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</si>
  <si>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</si>
  <si>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</si>
  <si>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</si>
  <si>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</si>
  <si>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</si>
  <si>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</si>
  <si>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</si>
  <si>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</si>
  <si>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</si>
  <si>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</si>
  <si>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</si>
  <si>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</si>
  <si>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</si>
  <si>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</si>
  <si>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</si>
  <si>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</si>
  <si>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</si>
  <si>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</si>
  <si>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</si>
  <si>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</si>
  <si>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</si>
  <si>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</si>
  <si>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</si>
  <si>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</si>
  <si>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</si>
  <si>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</si>
  <si>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</si>
  <si>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</si>
  <si>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</si>
  <si>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</si>
  <si>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</si>
  <si>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</si>
  <si>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</si>
  <si>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</si>
  <si>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</si>
  <si>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</si>
  <si>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</si>
  <si>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</si>
  <si>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</si>
  <si>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</si>
  <si>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</si>
  <si>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</si>
  <si>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</si>
  <si>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</si>
  <si>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</si>
  <si>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</si>
  <si>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</si>
  <si>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</si>
  <si>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</si>
  <si>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</si>
  <si>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</si>
  <si>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</si>
  <si>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</si>
  <si>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</si>
  <si>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</si>
  <si>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</si>
  <si>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</si>
  <si>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</si>
  <si>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</si>
  <si>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</si>
  <si>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</si>
  <si>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</si>
  <si>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</si>
  <si>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</si>
  <si>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</si>
  <si>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</si>
  <si>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</si>
  <si>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</si>
  <si>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</si>
  <si>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</si>
  <si>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</si>
  <si>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</si>
  <si>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</si>
  <si>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</si>
  <si>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</si>
  <si>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</si>
  <si>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</si>
  <si>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</si>
  <si>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</si>
  <si>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</si>
  <si>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</si>
  <si>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</si>
  <si>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</si>
  <si>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</si>
  <si>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</si>
  <si>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</si>
  <si>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</si>
  <si>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</si>
  <si>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</si>
  <si>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</si>
  <si>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</si>
  <si>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</si>
  <si>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</si>
  <si>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</si>
  <si>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</si>
  <si>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</si>
  <si>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</si>
  <si>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</si>
  <si>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</si>
  <si>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</si>
  <si>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</si>
  <si>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</si>
  <si>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</si>
  <si>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</si>
  <si>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</si>
  <si>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</si>
  <si>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</si>
  <si>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</si>
  <si>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</si>
  <si>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</si>
  <si>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</si>
  <si>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</si>
  <si>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</si>
  <si>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</si>
  <si>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</si>
  <si>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</si>
  <si>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</si>
  <si>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</si>
  <si>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</si>
  <si>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</si>
  <si>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</si>
  <si>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</si>
  <si>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</si>
  <si>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</si>
  <si>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</si>
  <si>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</si>
  <si>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</si>
  <si>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</si>
  <si>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</si>
  <si>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</si>
  <si>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</si>
  <si>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</si>
  <si>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</si>
  <si>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</si>
  <si>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</si>
  <si>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</si>
  <si>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</si>
  <si>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</si>
  <si>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</si>
  <si>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</si>
  <si>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</si>
  <si>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</si>
  <si>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</si>
  <si>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</si>
  <si>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</si>
  <si>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</si>
  <si>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</si>
  <si>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</si>
  <si>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</si>
  <si>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</si>
  <si>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</si>
  <si>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</si>
  <si>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</si>
  <si>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</si>
  <si>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</si>
  <si>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</si>
  <si>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</si>
  <si>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</si>
  <si>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</si>
  <si>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</si>
  <si>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</si>
  <si>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</si>
  <si>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</si>
  <si>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</si>
  <si>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</si>
  <si>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</si>
  <si>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</si>
  <si>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</si>
  <si>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</si>
  <si>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</si>
  <si>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</si>
  <si>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</si>
  <si>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</si>
  <si>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Selic meta - Serie SGS 432 (taxa % ao ano)</t>
  </si>
  <si>
    <t>Coluna auxiliar: equivalente mensal da taxa anual. Base do retorno dos titulos prefixados.</t>
  </si>
  <si>
    <t>Valor (% a.a.)</t>
  </si>
  <si>
    <t>01/01/2023</t>
  </si>
  <si>
    <t>07/01/2023</t>
  </si>
  <si>
    <t>08/01/2023</t>
  </si>
  <si>
    <t>14/01/2023</t>
  </si>
  <si>
    <t>15/01/2023</t>
  </si>
  <si>
    <t>21/01/2023</t>
  </si>
  <si>
    <t>22/01/2023</t>
  </si>
  <si>
    <t>28/01/2023</t>
  </si>
  <si>
    <t>29/01/2023</t>
  </si>
  <si>
    <t>04/02/2023</t>
  </si>
  <si>
    <t>05/02/2023</t>
  </si>
  <si>
    <t>11/02/2023</t>
  </si>
  <si>
    <t>12/02/2023</t>
  </si>
  <si>
    <t>18/02/2023</t>
  </si>
  <si>
    <t>19/02/2023</t>
  </si>
  <si>
    <t>20/02/2023</t>
  </si>
  <si>
    <t>21/02/2023</t>
  </si>
  <si>
    <t>25/02/2023</t>
  </si>
  <si>
    <t>26/02/2023</t>
  </si>
  <si>
    <t>04/03/2023</t>
  </si>
  <si>
    <t>05/03/2023</t>
  </si>
  <si>
    <t>11/03/2023</t>
  </si>
  <si>
    <t>12/03/2023</t>
  </si>
  <si>
    <t>18/03/2023</t>
  </si>
  <si>
    <t>19/03/2023</t>
  </si>
  <si>
    <t>25/03/2023</t>
  </si>
  <si>
    <t>26/03/2023</t>
  </si>
  <si>
    <t>01/04/2023</t>
  </si>
  <si>
    <t>02/04/2023</t>
  </si>
  <si>
    <t>07/04/2023</t>
  </si>
  <si>
    <t>08/04/2023</t>
  </si>
  <si>
    <t>09/04/2023</t>
  </si>
  <si>
    <t>15/04/2023</t>
  </si>
  <si>
    <t>16/04/2023</t>
  </si>
  <si>
    <t>21/04/2023</t>
  </si>
  <si>
    <t>22/04/2023</t>
  </si>
  <si>
    <t>23/04/2023</t>
  </si>
  <si>
    <t>29/04/2023</t>
  </si>
  <si>
    <t>30/04/2023</t>
  </si>
  <si>
    <t>01/05/2023</t>
  </si>
  <si>
    <t>06/05/2023</t>
  </si>
  <si>
    <t>07/05/2023</t>
  </si>
  <si>
    <t>13/05/2023</t>
  </si>
  <si>
    <t>14/05/2023</t>
  </si>
  <si>
    <t>20/05/2023</t>
  </si>
  <si>
    <t>21/05/2023</t>
  </si>
  <si>
    <t>27/05/2023</t>
  </si>
  <si>
    <t>28/05/2023</t>
  </si>
  <si>
    <t>03/06/2023</t>
  </si>
  <si>
    <t>04/06/2023</t>
  </si>
  <si>
    <t>08/06/2023</t>
  </si>
  <si>
    <t>10/06/2023</t>
  </si>
  <si>
    <t>11/06/2023</t>
  </si>
  <si>
    <t>17/06/2023</t>
  </si>
  <si>
    <t>18/06/2023</t>
  </si>
  <si>
    <t>24/06/2023</t>
  </si>
  <si>
    <t>25/06/2023</t>
  </si>
  <si>
    <t>01/07/2023</t>
  </si>
  <si>
    <t>02/07/2023</t>
  </si>
  <si>
    <t>08/07/2023</t>
  </si>
  <si>
    <t>09/07/2023</t>
  </si>
  <si>
    <t>15/07/2023</t>
  </si>
  <si>
    <t>16/07/2023</t>
  </si>
  <si>
    <t>22/07/2023</t>
  </si>
  <si>
    <t>23/07/2023</t>
  </si>
  <si>
    <t>29/07/2023</t>
  </si>
  <si>
    <t>30/07/2023</t>
  </si>
  <si>
    <t>05/08/2023</t>
  </si>
  <si>
    <t>06/08/2023</t>
  </si>
  <si>
    <t>12/08/2023</t>
  </si>
  <si>
    <t>13/08/2023</t>
  </si>
  <si>
    <t>19/08/2023</t>
  </si>
  <si>
    <t>20/08/2023</t>
  </si>
  <si>
    <t>26/08/2023</t>
  </si>
  <si>
    <t>27/08/2023</t>
  </si>
  <si>
    <t>02/09/2023</t>
  </si>
  <si>
    <t>03/09/2023</t>
  </si>
  <si>
    <t>07/09/2023</t>
  </si>
  <si>
    <t>09/09/2023</t>
  </si>
  <si>
    <t>10/09/2023</t>
  </si>
  <si>
    <t>16/09/2023</t>
  </si>
  <si>
    <t>17/09/2023</t>
  </si>
  <si>
    <t>23/09/2023</t>
  </si>
  <si>
    <t>24/09/2023</t>
  </si>
  <si>
    <t>30/09/2023</t>
  </si>
  <si>
    <t>01/10/2023</t>
  </si>
  <si>
    <t>07/10/2023</t>
  </si>
  <si>
    <t>08/10/2023</t>
  </si>
  <si>
    <t>12/10/2023</t>
  </si>
  <si>
    <t>14/10/2023</t>
  </si>
  <si>
    <t>15/10/2023</t>
  </si>
  <si>
    <t>21/10/2023</t>
  </si>
  <si>
    <t>22/10/2023</t>
  </si>
  <si>
    <t>28/10/2023</t>
  </si>
  <si>
    <t>29/10/2023</t>
  </si>
  <si>
    <t>02/11/2023</t>
  </si>
  <si>
    <t>04/11/2023</t>
  </si>
  <si>
    <t>05/11/2023</t>
  </si>
  <si>
    <t>11/11/2023</t>
  </si>
  <si>
    <t>12/11/2023</t>
  </si>
  <si>
    <t>15/11/2023</t>
  </si>
  <si>
    <t>18/11/2023</t>
  </si>
  <si>
    <t>19/11/2023</t>
  </si>
  <si>
    <t>25/11/2023</t>
  </si>
  <si>
    <t>26/11/2023</t>
  </si>
  <si>
    <t>02/12/2023</t>
  </si>
  <si>
    <t>03/12/2023</t>
  </si>
  <si>
    <t>09/12/2023</t>
  </si>
  <si>
    <t>10/12/2023</t>
  </si>
  <si>
    <t>16/12/2023</t>
  </si>
  <si>
    <t>17/12/2023</t>
  </si>
  <si>
    <t>23/12/2023</t>
  </si>
  <si>
    <t>24/12/2023</t>
  </si>
  <si>
    <t>25/12/2023</t>
  </si>
  <si>
    <t>30/12/2023</t>
  </si>
  <si>
    <t>31/12/2023</t>
  </si>
  <si>
    <t>01/01/2024</t>
  </si>
  <si>
    <t>06/01/2024</t>
  </si>
  <si>
    <t>07/01/2024</t>
  </si>
  <si>
    <t>13/01/2024</t>
  </si>
  <si>
    <t>14/01/2024</t>
  </si>
  <si>
    <t>20/01/2024</t>
  </si>
  <si>
    <t>21/01/2024</t>
  </si>
  <si>
    <t>27/01/2024</t>
  </si>
  <si>
    <t>28/01/2024</t>
  </si>
  <si>
    <t>03/02/2024</t>
  </si>
  <si>
    <t>04/02/2024</t>
  </si>
  <si>
    <t>10/02/2024</t>
  </si>
  <si>
    <t>11/02/2024</t>
  </si>
  <si>
    <t>12/02/2024</t>
  </si>
  <si>
    <t>13/02/2024</t>
  </si>
  <si>
    <t>17/02/2024</t>
  </si>
  <si>
    <t>18/02/2024</t>
  </si>
  <si>
    <t>24/02/2024</t>
  </si>
  <si>
    <t>25/02/2024</t>
  </si>
  <si>
    <t>02/03/2024</t>
  </si>
  <si>
    <t>03/03/2024</t>
  </si>
  <si>
    <t>09/03/2024</t>
  </si>
  <si>
    <t>10/03/2024</t>
  </si>
  <si>
    <t>16/03/2024</t>
  </si>
  <si>
    <t>17/03/2024</t>
  </si>
  <si>
    <t>23/03/2024</t>
  </si>
  <si>
    <t>24/03/2024</t>
  </si>
  <si>
    <t>29/03/2024</t>
  </si>
  <si>
    <t>30/03/2024</t>
  </si>
  <si>
    <t>31/03/2024</t>
  </si>
  <si>
    <t>06/04/2024</t>
  </si>
  <si>
    <t>07/04/2024</t>
  </si>
  <si>
    <t>13/04/2024</t>
  </si>
  <si>
    <t>14/04/2024</t>
  </si>
  <si>
    <t>20/04/2024</t>
  </si>
  <si>
    <t>21/04/2024</t>
  </si>
  <si>
    <t>27/04/2024</t>
  </si>
  <si>
    <t>28/04/2024</t>
  </si>
  <si>
    <t>01/05/2024</t>
  </si>
  <si>
    <t>04/05/2024</t>
  </si>
  <si>
    <t>05/05/2024</t>
  </si>
  <si>
    <t>11/05/2024</t>
  </si>
  <si>
    <t>12/05/2024</t>
  </si>
  <si>
    <t>18/05/2024</t>
  </si>
  <si>
    <t>19/05/2024</t>
  </si>
  <si>
    <t>25/05/2024</t>
  </si>
  <si>
    <t>26/05/2024</t>
  </si>
  <si>
    <t>30/05/2024</t>
  </si>
  <si>
    <t>01/06/2024</t>
  </si>
  <si>
    <t>02/06/2024</t>
  </si>
  <si>
    <t>08/06/2024</t>
  </si>
  <si>
    <t>09/06/2024</t>
  </si>
  <si>
    <t>15/06/2024</t>
  </si>
  <si>
    <t>16/06/2024</t>
  </si>
  <si>
    <t>22/06/2024</t>
  </si>
  <si>
    <t>23/06/2024</t>
  </si>
  <si>
    <t>29/06/2024</t>
  </si>
  <si>
    <t>30/06/2024</t>
  </si>
  <si>
    <t>06/07/2024</t>
  </si>
  <si>
    <t>07/07/2024</t>
  </si>
  <si>
    <t>13/07/2024</t>
  </si>
  <si>
    <t>14/07/2024</t>
  </si>
  <si>
    <t>20/07/2024</t>
  </si>
  <si>
    <t>21/07/2024</t>
  </si>
  <si>
    <t>27/07/2024</t>
  </si>
  <si>
    <t>28/07/2024</t>
  </si>
  <si>
    <t>03/08/2024</t>
  </si>
  <si>
    <t>04/08/2024</t>
  </si>
  <si>
    <t>10/08/2024</t>
  </si>
  <si>
    <t>11/08/2024</t>
  </si>
  <si>
    <t>17/08/2024</t>
  </si>
  <si>
    <t>18/08/2024</t>
  </si>
  <si>
    <t>24/08/2024</t>
  </si>
  <si>
    <t>25/08/2024</t>
  </si>
  <si>
    <t>31/08/2024</t>
  </si>
  <si>
    <t>01/09/2024</t>
  </si>
  <si>
    <t>07/09/2024</t>
  </si>
  <si>
    <t>08/09/2024</t>
  </si>
  <si>
    <t>14/09/2024</t>
  </si>
  <si>
    <t>15/09/2024</t>
  </si>
  <si>
    <t>21/09/2024</t>
  </si>
  <si>
    <t>22/09/2024</t>
  </si>
  <si>
    <t>28/09/2024</t>
  </si>
  <si>
    <t>29/09/2024</t>
  </si>
  <si>
    <t>05/10/2024</t>
  </si>
  <si>
    <t>06/10/2024</t>
  </si>
  <si>
    <t>12/10/2024</t>
  </si>
  <si>
    <t>13/10/2024</t>
  </si>
  <si>
    <t>19/10/2024</t>
  </si>
  <si>
    <t>20/10/2024</t>
  </si>
  <si>
    <t>26/10/2024</t>
  </si>
  <si>
    <t>27/10/2024</t>
  </si>
  <si>
    <t>02/11/2024</t>
  </si>
  <si>
    <t>03/11/2024</t>
  </si>
  <si>
    <t>09/11/2024</t>
  </si>
  <si>
    <t>10/11/2024</t>
  </si>
  <si>
    <t>15/11/2024</t>
  </si>
  <si>
    <t>16/11/2024</t>
  </si>
  <si>
    <t>17/11/2024</t>
  </si>
  <si>
    <t>20/11/2024</t>
  </si>
  <si>
    <t>23/11/2024</t>
  </si>
  <si>
    <t>24/11/2024</t>
  </si>
  <si>
    <t>30/11/2024</t>
  </si>
  <si>
    <t>01/12/2024</t>
  </si>
  <si>
    <t>07/12/2024</t>
  </si>
  <si>
    <t>08/12/2024</t>
  </si>
  <si>
    <t>14/12/2024</t>
  </si>
  <si>
    <t>15/12/2024</t>
  </si>
  <si>
    <t>21/12/2024</t>
  </si>
  <si>
    <t>22/12/2024</t>
  </si>
  <si>
    <t>25/12/2024</t>
  </si>
  <si>
    <t>28/12/2024</t>
  </si>
  <si>
    <t>29/12/2024</t>
  </si>
  <si>
    <t>01/01/2025</t>
  </si>
  <si>
    <t>04/01/2025</t>
  </si>
  <si>
    <t>05/01/2025</t>
  </si>
  <si>
    <t>11/01/2025</t>
  </si>
  <si>
    <t>12/01/2025</t>
  </si>
  <si>
    <t>18/01/2025</t>
  </si>
  <si>
    <t>19/01/2025</t>
  </si>
  <si>
    <t>25/01/2025</t>
  </si>
  <si>
    <t>26/01/2025</t>
  </si>
  <si>
    <t>01/02/2025</t>
  </si>
  <si>
    <t>02/02/2025</t>
  </si>
  <si>
    <t>08/02/2025</t>
  </si>
  <si>
    <t>09/02/2025</t>
  </si>
  <si>
    <t>15/02/2025</t>
  </si>
  <si>
    <t>16/02/2025</t>
  </si>
  <si>
    <t>22/02/2025</t>
  </si>
  <si>
    <t>23/02/2025</t>
  </si>
  <si>
    <t>01/03/2025</t>
  </si>
  <si>
    <t>02/03/2025</t>
  </si>
  <si>
    <t>03/03/2025</t>
  </si>
  <si>
    <t>04/03/2025</t>
  </si>
  <si>
    <t>08/03/2025</t>
  </si>
  <si>
    <t>09/03/2025</t>
  </si>
  <si>
    <t>15/03/2025</t>
  </si>
  <si>
    <t>16/03/2025</t>
  </si>
  <si>
    <t>22/03/2025</t>
  </si>
  <si>
    <t>23/03/2025</t>
  </si>
  <si>
    <t>29/03/2025</t>
  </si>
  <si>
    <t>30/03/2025</t>
  </si>
  <si>
    <t>05/04/2025</t>
  </si>
  <si>
    <t>06/04/2025</t>
  </si>
  <si>
    <t>12/04/2025</t>
  </si>
  <si>
    <t>13/04/2025</t>
  </si>
  <si>
    <t>18/04/2025</t>
  </si>
  <si>
    <t>19/04/2025</t>
  </si>
  <si>
    <t>20/04/2025</t>
  </si>
  <si>
    <t>21/04/2025</t>
  </si>
  <si>
    <t>26/04/2025</t>
  </si>
  <si>
    <t>27/04/2025</t>
  </si>
  <si>
    <t>01/05/2025</t>
  </si>
  <si>
    <t>03/05/2025</t>
  </si>
  <si>
    <t>04/05/2025</t>
  </si>
  <si>
    <t>10/05/2025</t>
  </si>
  <si>
    <t>11/05/2025</t>
  </si>
  <si>
    <t>17/05/2025</t>
  </si>
  <si>
    <t>18/05/2025</t>
  </si>
  <si>
    <t>24/05/2025</t>
  </si>
  <si>
    <t>25/05/2025</t>
  </si>
  <si>
    <t>31/05/2025</t>
  </si>
  <si>
    <t>01/06/2025</t>
  </si>
  <si>
    <t>07/06/2025</t>
  </si>
  <si>
    <t>08/06/2025</t>
  </si>
  <si>
    <t>14/06/2025</t>
  </si>
  <si>
    <t>15/06/2025</t>
  </si>
  <si>
    <t>19/06/2025</t>
  </si>
  <si>
    <t>21/06/2025</t>
  </si>
  <si>
    <t>22/06/2025</t>
  </si>
  <si>
    <t>28/06/2025</t>
  </si>
  <si>
    <t>29/06/2025</t>
  </si>
  <si>
    <t>05/07/2025</t>
  </si>
  <si>
    <t>06/07/2025</t>
  </si>
  <si>
    <t>12/07/2025</t>
  </si>
  <si>
    <t>13/07/2025</t>
  </si>
  <si>
    <t>19/07/2025</t>
  </si>
  <si>
    <t>20/07/2025</t>
  </si>
  <si>
    <t>26/07/2025</t>
  </si>
  <si>
    <t>27/07/2025</t>
  </si>
  <si>
    <t>02/08/2025</t>
  </si>
  <si>
    <t>03/08/2025</t>
  </si>
  <si>
    <t>09/08/2025</t>
  </si>
  <si>
    <t>10/08/2025</t>
  </si>
  <si>
    <t>16/08/2025</t>
  </si>
  <si>
    <t>17/08/2025</t>
  </si>
  <si>
    <t>23/08/2025</t>
  </si>
  <si>
    <t>24/08/2025</t>
  </si>
  <si>
    <t>30/08/2025</t>
  </si>
  <si>
    <t>31/08/2025</t>
  </si>
  <si>
    <t>06/09/2025</t>
  </si>
  <si>
    <t>07/09/2025</t>
  </si>
  <si>
    <t>13/09/2025</t>
  </si>
  <si>
    <t>14/09/2025</t>
  </si>
  <si>
    <t>20/09/2025</t>
  </si>
  <si>
    <t>21/09/2025</t>
  </si>
  <si>
    <t>27/09/2025</t>
  </si>
  <si>
    <t>28/09/2025</t>
  </si>
  <si>
    <t>04/10/2025</t>
  </si>
  <si>
    <t>05/10/2025</t>
  </si>
  <si>
    <t>11/10/2025</t>
  </si>
  <si>
    <t>12/10/2025</t>
  </si>
  <si>
    <t>18/10/2025</t>
  </si>
  <si>
    <t>19/10/2025</t>
  </si>
  <si>
    <t>25/10/2025</t>
  </si>
  <si>
    <t>26/10/2025</t>
  </si>
  <si>
    <t>01/11/2025</t>
  </si>
  <si>
    <t>02/11/2025</t>
  </si>
  <si>
    <t>08/11/2025</t>
  </si>
  <si>
    <t>09/11/2025</t>
  </si>
  <si>
    <t>15/11/2025</t>
  </si>
  <si>
    <t>16/11/2025</t>
  </si>
  <si>
    <t>20/11/2025</t>
  </si>
  <si>
    <t>22/11/2025</t>
  </si>
  <si>
    <t>23/11/2025</t>
  </si>
  <si>
    <t>29/11/2025</t>
  </si>
  <si>
    <t>30/11/2025</t>
  </si>
  <si>
    <t>06/12/2025</t>
  </si>
  <si>
    <t>07/12/2025</t>
  </si>
  <si>
    <t>13/12/2025</t>
  </si>
  <si>
    <t>14/12/2025</t>
  </si>
  <si>
    <t>20/12/2025</t>
  </si>
  <si>
    <t>21/12/2025</t>
  </si>
  <si>
    <t>25/12/2025</t>
  </si>
  <si>
    <t>27/12/2025</t>
  </si>
  <si>
    <t>28/12/2025</t>
  </si>
  <si>
    <t>01/01/2026</t>
  </si>
  <si>
    <t>03/01/2026</t>
  </si>
  <si>
    <t>04/01/2026</t>
  </si>
  <si>
    <t>10/01/2026</t>
  </si>
  <si>
    <t>11/01/2026</t>
  </si>
  <si>
    <t>17/01/2026</t>
  </si>
  <si>
    <t>18/01/2026</t>
  </si>
  <si>
    <t>24/01/2026</t>
  </si>
  <si>
    <t>25/01/2026</t>
  </si>
  <si>
    <t>31/01/2026</t>
  </si>
  <si>
    <t>01/02/2026</t>
  </si>
  <si>
    <t>07/02/2026</t>
  </si>
  <si>
    <t>08/02/2026</t>
  </si>
  <si>
    <t>14/02/2026</t>
  </si>
  <si>
    <t>15/02/2026</t>
  </si>
  <si>
    <t>16/02/2026</t>
  </si>
  <si>
    <t>17/02/2026</t>
  </si>
  <si>
    <t>21/02/2026</t>
  </si>
  <si>
    <t>22/02/2026</t>
  </si>
  <si>
    <t>28/02/2026</t>
  </si>
  <si>
    <t>01/03/2026</t>
  </si>
  <si>
    <t>07/03/2026</t>
  </si>
  <si>
    <t>08/03/2026</t>
  </si>
  <si>
    <t>14/03/2026</t>
  </si>
  <si>
    <t>15/03/2026</t>
  </si>
  <si>
    <t>21/03/2026</t>
  </si>
  <si>
    <t>22/03/2026</t>
  </si>
  <si>
    <t>28/03/2026</t>
  </si>
  <si>
    <t>29/03/2026</t>
  </si>
  <si>
    <t>03/04/2026</t>
  </si>
  <si>
    <t>04/04/2026</t>
  </si>
  <si>
    <t>05/04/2026</t>
  </si>
  <si>
    <t>11/04/2026</t>
  </si>
  <si>
    <t>12/04/2026</t>
  </si>
  <si>
    <t>18/04/2026</t>
  </si>
  <si>
    <t>19/04/2026</t>
  </si>
  <si>
    <t>21/04/2026</t>
  </si>
  <si>
    <t>25/04/2026</t>
  </si>
  <si>
    <t>26/04/2026</t>
  </si>
  <si>
    <t>01/05/2026</t>
  </si>
  <si>
    <t>02/05/2026</t>
  </si>
  <si>
    <t>03/05/2026</t>
  </si>
  <si>
    <t>09/05/2026</t>
  </si>
  <si>
    <t>10/05/2026</t>
  </si>
  <si>
    <t>16/05/2026</t>
  </si>
  <si>
    <t>17/05/2026</t>
  </si>
  <si>
    <t>23/05/2026</t>
  </si>
  <si>
    <t>24/05/2026</t>
  </si>
  <si>
    <t>30/05/2026</t>
  </si>
  <si>
    <t>31/05/2026</t>
  </si>
  <si>
    <t>04/06/2026</t>
  </si>
  <si>
    <t>06/06/2026</t>
  </si>
  <si>
    <t>07/06/2026</t>
  </si>
  <si>
    <t>13/06/2026</t>
  </si>
  <si>
    <t>14/06/2026</t>
  </si>
  <si>
    <t>20/06/2026</t>
  </si>
  <si>
    <t>21/06/2026</t>
  </si>
  <si>
    <t>27/06/2026</t>
  </si>
  <si>
    <t>28/06/2026</t>
  </si>
  <si>
    <t>04/07/2026</t>
  </si>
  <si>
    <t>05/07/2026</t>
  </si>
  <si>
    <t>11/07/2026</t>
  </si>
  <si>
    <t>12/07/2026</t>
  </si>
  <si>
    <t>18/07/2026</t>
  </si>
  <si>
    <t>19/07/2026</t>
  </si>
  <si>
    <t>25/07/2026</t>
  </si>
  <si>
    <t>26/07/2026</t>
  </si>
  <si>
    <t>01/08/2026</t>
  </si>
  <si>
    <t>02/08/2026</t>
  </si>
  <si>
    <t>08/08/2026</t>
  </si>
  <si>
    <t>09/08/2026</t>
  </si>
  <si>
    <t>15/08/2026</t>
  </si>
  <si>
    <t>16/08/2026</t>
  </si>
  <si>
    <t>22/08/2026</t>
  </si>
  <si>
    <t>23/08/2026</t>
  </si>
  <si>
    <t>29/08/2026</t>
  </si>
  <si>
    <t>30/08/2026</t>
  </si>
  <si>
    <t>IPCA - Serie SGS 433 (variacao % mensal)</t>
  </si>
  <si>
    <t>Serie ja e mensal: nao precisa de coluna auxiliar. O retorno do IPCA+ soma o spread de 6% a.a.</t>
  </si>
  <si>
    <t>IPCA medio mensal (%)</t>
  </si>
  <si>
    <t>Spread mensal equiv. a 6% a.a. (%)</t>
  </si>
  <si>
    <t>Risco - desvio-padrao do IPCA (%)</t>
  </si>
  <si>
    <t>Retorno IPCA+ = IPCA medio + spread (%)</t>
  </si>
  <si>
    <t>Valor (% a.m.)</t>
  </si>
  <si>
    <t>Dolar comercial - Serie SGS 1 (R$ por US$)</t>
  </si>
  <si>
    <t>Coluna auxiliar: variacao % diaria. Conversao para o mes: media x 21 e desvio-padrao x RAIZ(21).</t>
  </si>
  <si>
    <t>Variacao media DIARIA (%)</t>
  </si>
  <si>
    <t>Retorno mensal = media x 21 (%)</t>
  </si>
  <si>
    <t>Desvio-padrao DIARIO (%)</t>
  </si>
  <si>
    <t>Risco mensal = dp x RAIZ(21) (%)</t>
  </si>
  <si>
    <t>Valor (R$)</t>
  </si>
  <si>
    <t>Variacao diaria (%)</t>
  </si>
  <si>
    <t>-</t>
  </si>
  <si>
    <t>Parametros do modelo - os 8 numeros que alimentam a Programacao Linear</t>
  </si>
  <si>
    <t>Variavel</t>
  </si>
  <si>
    <t>Classe de ativo</t>
  </si>
  <si>
    <t>Origem</t>
  </si>
  <si>
    <t>x1</t>
  </si>
  <si>
    <t>Fundos DI/CDI</t>
  </si>
  <si>
    <t>SGS 12 - taxa diaria elevada a 21</t>
  </si>
  <si>
    <t>x2</t>
  </si>
  <si>
    <t>Titulos prefixados</t>
  </si>
  <si>
    <t>SGS 432 - meta Selic elevada a 1/12</t>
  </si>
  <si>
    <t>x3</t>
  </si>
  <si>
    <t>Tesouro IPCA+</t>
  </si>
  <si>
    <t>SGS 433 + spread de 6% a.a.</t>
  </si>
  <si>
    <t>x4</t>
  </si>
  <si>
    <t>Fundos cambiais</t>
  </si>
  <si>
    <t>SGS 1 - variacao diaria x 21 e x RAIZ(21)</t>
  </si>
  <si>
    <t>Observacoes sobre os dados</t>
  </si>
  <si>
    <t>- As quatro abas foram conferidas: nenhuma data duplicada, nenhum valor ausente, nenhuma linha em branco.</t>
  </si>
  <si>
    <t>- CDI e Dolar tem 921 linhas (dias uteis); Selic tem 1.340 (dias corridos, a meta vale todo dia); IPCA tem 44 (mensal).</t>
  </si>
  <si>
    <t>- A diferenca de tamanho entre as series NAO e erro: decorre da frequencia de publicacao de cada indicador.</t>
  </si>
  <si>
    <t>- DESVPAD.A (STDEV.S) e o desvio-padrao AMOSTRAL, conforme a formula indicada no enunciado.</t>
  </si>
  <si>
    <t>- O periodo coberto vai de 01/01/2023 a 01/09/2026.</t>
  </si>
  <si>
    <t>Modelo de Programacao Linear - Apice Capital</t>
  </si>
  <si>
    <t>Capital total (R$)</t>
  </si>
  <si>
    <t>1. VARIAVEIS DE DECISAO</t>
  </si>
  <si>
    <t>x1 - DI/CDI</t>
  </si>
  <si>
    <t>x2 - Prefixado</t>
  </si>
  <si>
    <t>x3 - IPCA+</t>
  </si>
  <si>
    <t>x4 - Cambial</t>
  </si>
  <si>
    <t>Soma</t>
  </si>
  <si>
    <t>Fracao do capital</t>
  </si>
  <si>
    <t>Valor alocado (R$)</t>
  </si>
  <si>
    <t>2. FUNCAO OBJETIVO</t>
  </si>
  <si>
    <t>Retorno mensal (%)</t>
  </si>
  <si>
    <t>Z - retorno da carteira (% ao mes)</t>
  </si>
  <si>
    <t>Retorno mensal em reais (R$)</t>
  </si>
  <si>
    <t>3. RESTRICOES</t>
  </si>
  <si>
    <t>Restricao</t>
  </si>
  <si>
    <t>Uso</t>
  </si>
  <si>
    <t>Sinal</t>
  </si>
  <si>
    <t>Limite</t>
  </si>
  <si>
    <t>Folga</t>
  </si>
  <si>
    <t>Alocacao total do capital</t>
  </si>
  <si>
    <t>=</t>
  </si>
  <si>
    <t>Liquidez minima em DI/CDI</t>
  </si>
  <si>
    <t>&gt;=</t>
  </si>
  <si>
    <t>Concentracao maxima Prefixado</t>
  </si>
  <si>
    <t>&lt;=</t>
  </si>
  <si>
    <t>Protecao minima IPCA+</t>
  </si>
  <si>
    <t>Hedge cambial minimo</t>
  </si>
  <si>
    <t>Hedge cambial maximo</t>
  </si>
  <si>
    <t>Orcamento de risco 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</si>
</sst>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000"/>
    <numFmt numFmtId="169" formatCode="0.0"/>
  </numFmts>
  <fonts count="12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sz val="9"/>
      <color rgb="FF595959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1F4E79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A6D1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6F2EA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6F2EA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4" fontId="0" fillId="0" borderId="1" xfId="0" applyNumberFormat="1" applyBorder="1"/>
    <xf numFmtId="16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1" xfId="0" applyFont="1" applyBorder="1"/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0" fontId="6" fillId="0" borderId="0" xfId="0" applyFont="1"/>
    <xf numFmtId="4" fontId="7" fillId="0" borderId="1" xfId="0" applyNumberFormat="1" applyFont="1" applyBorder="1"/>
    <xf numFmtId="4" fontId="0" fillId="0" borderId="1" xfId="0" applyNumberFormat="1" applyBorder="1" applyAlignment="1">
      <alignment horizontal="center" vertical="center"/>
    </xf>
    <xf numFmtId="0" fontId="4" fillId="0" borderId="0" xfId="0" applyFont="1"/>
    <xf numFmtId="164" fontId="9" fillId="2" borderId="1" xfId="0" applyNumberFormat="1" applyFont="1" applyFill="1" applyBorder="1" applyAlignment="1">
      <alignment horizontal="center" vertical="center"/>
    </xf>
    <xf numFmtId="4" fontId="9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3" fillId="0" borderId="1" xfId="0" applyFont="1" applyBorder="1"/>
    <xf numFmtId="0" fontId="10" fillId="0" borderId="0" xfId="0" applyFont="1"/>
    <xf numFmtId="0" fontId="11" fillId="0" borderId="0" xfId="0" applyFont="1"/>
    <xf numFmtId="2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A"/>
      <rgbColor rgb="FF800080"/>
      <rgbColor rgb="FF008080"/>
      <rgbColor rgb="FFBFBFBF"/>
      <rgbColor rgb="FF808080"/>
      <rgbColor rgb="FF9999FF"/>
      <rgbColor rgb="FF993366"/>
      <rgbColor rgb="FFFFFFCC"/>
      <rgbColor rgb="FFE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8"/>
  <sheetViews>
    <sheetView zoomScaleNormal="100" workbookViewId="0">
      <selection activeCell="E35" sqref="E35"/>
    </sheetView>
  </sheetViews>
  <sheetFormatPr defaultColWidth="8.6640625" defaultRowHeight="14.4" x14ac:dyDescent="0.3"/>
  <cols>
    <col min="1" max="1" width="14" customWidth="1"/>
    <col min="2" max="2" width="16" customWidth="1"/>
    <col min="3" max="3" width="24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C4" s="4">
        <f>AVERAGE(C8:C928)</f>
        <v>1.0298886222891217</v>
      </c>
    </row>
    <row r="5" spans="1:3" x14ac:dyDescent="0.3">
      <c r="A5" s="3" t="s">
        <v>3</v>
      </c>
      <c r="C5" s="4">
        <f>_xlfn.STDEV.S(C8:C928)</f>
        <v>0.12000007204792507</v>
      </c>
    </row>
    <row r="7" spans="1:3" x14ac:dyDescent="0.3">
      <c r="A7" s="5" t="s">
        <v>4</v>
      </c>
      <c r="B7" s="5" t="s">
        <v>5</v>
      </c>
      <c r="C7" s="5" t="s">
        <v>6</v>
      </c>
    </row>
    <row r="8" spans="1:3" x14ac:dyDescent="0.3">
      <c r="A8" s="6" t="s">
        <v>7</v>
      </c>
      <c r="B8" s="7">
        <v>5.0788E-2</v>
      </c>
      <c r="C8" s="7">
        <f t="shared" ref="C8:C71" si="0">((1+B8/100)^21-1)*100</f>
        <v>1.071982247354808</v>
      </c>
    </row>
    <row r="9" spans="1:3" x14ac:dyDescent="0.3">
      <c r="A9" s="6" t="s">
        <v>8</v>
      </c>
      <c r="B9" s="7">
        <v>5.0788E-2</v>
      </c>
      <c r="C9" s="7">
        <f t="shared" si="0"/>
        <v>1.071982247354808</v>
      </c>
    </row>
    <row r="10" spans="1:3" x14ac:dyDescent="0.3">
      <c r="A10" s="6" t="s">
        <v>9</v>
      </c>
      <c r="B10" s="7">
        <v>5.0788E-2</v>
      </c>
      <c r="C10" s="7">
        <f t="shared" si="0"/>
        <v>1.071982247354808</v>
      </c>
    </row>
    <row r="11" spans="1:3" x14ac:dyDescent="0.3">
      <c r="A11" s="6" t="s">
        <v>10</v>
      </c>
      <c r="B11" s="7">
        <v>5.0788E-2</v>
      </c>
      <c r="C11" s="7">
        <f t="shared" si="0"/>
        <v>1.071982247354808</v>
      </c>
    </row>
    <row r="12" spans="1:3" x14ac:dyDescent="0.3">
      <c r="A12" s="6" t="s">
        <v>11</v>
      </c>
      <c r="B12" s="7">
        <v>5.0788E-2</v>
      </c>
      <c r="C12" s="7">
        <f t="shared" si="0"/>
        <v>1.071982247354808</v>
      </c>
    </row>
    <row r="13" spans="1:3" x14ac:dyDescent="0.3">
      <c r="A13" s="6" t="s">
        <v>12</v>
      </c>
      <c r="B13" s="7">
        <v>5.0788E-2</v>
      </c>
      <c r="C13" s="7">
        <f t="shared" si="0"/>
        <v>1.071982247354808</v>
      </c>
    </row>
    <row r="14" spans="1:3" x14ac:dyDescent="0.3">
      <c r="A14" s="6" t="s">
        <v>13</v>
      </c>
      <c r="B14" s="7">
        <v>5.0788E-2</v>
      </c>
      <c r="C14" s="7">
        <f t="shared" si="0"/>
        <v>1.071982247354808</v>
      </c>
    </row>
    <row r="15" spans="1:3" x14ac:dyDescent="0.3">
      <c r="A15" s="6" t="s">
        <v>14</v>
      </c>
      <c r="B15" s="7">
        <v>5.0788E-2</v>
      </c>
      <c r="C15" s="7">
        <f t="shared" si="0"/>
        <v>1.071982247354808</v>
      </c>
    </row>
    <row r="16" spans="1:3" x14ac:dyDescent="0.3">
      <c r="A16" s="6" t="s">
        <v>15</v>
      </c>
      <c r="B16" s="7">
        <v>5.0788E-2</v>
      </c>
      <c r="C16" s="7">
        <f t="shared" si="0"/>
        <v>1.071982247354808</v>
      </c>
    </row>
    <row r="17" spans="1:3" x14ac:dyDescent="0.3">
      <c r="A17" s="6" t="s">
        <v>16</v>
      </c>
      <c r="B17" s="7">
        <v>5.0788E-2</v>
      </c>
      <c r="C17" s="7">
        <f t="shared" si="0"/>
        <v>1.071982247354808</v>
      </c>
    </row>
    <row r="18" spans="1:3" x14ac:dyDescent="0.3">
      <c r="A18" s="6" t="s">
        <v>17</v>
      </c>
      <c r="B18" s="7">
        <v>5.0788E-2</v>
      </c>
      <c r="C18" s="7">
        <f t="shared" si="0"/>
        <v>1.071982247354808</v>
      </c>
    </row>
    <row r="19" spans="1:3" x14ac:dyDescent="0.3">
      <c r="A19" s="6" t="s">
        <v>18</v>
      </c>
      <c r="B19" s="7">
        <v>5.0788E-2</v>
      </c>
      <c r="C19" s="7">
        <f t="shared" si="0"/>
        <v>1.071982247354808</v>
      </c>
    </row>
    <row r="20" spans="1:3" x14ac:dyDescent="0.3">
      <c r="A20" s="6" t="s">
        <v>19</v>
      </c>
      <c r="B20" s="7">
        <v>5.0788E-2</v>
      </c>
      <c r="C20" s="7">
        <f t="shared" si="0"/>
        <v>1.071982247354808</v>
      </c>
    </row>
    <row r="21" spans="1:3" x14ac:dyDescent="0.3">
      <c r="A21" s="6" t="s">
        <v>20</v>
      </c>
      <c r="B21" s="7">
        <v>5.0788E-2</v>
      </c>
      <c r="C21" s="7">
        <f t="shared" si="0"/>
        <v>1.071982247354808</v>
      </c>
    </row>
    <row r="22" spans="1:3" x14ac:dyDescent="0.3">
      <c r="A22" s="6" t="s">
        <v>21</v>
      </c>
      <c r="B22" s="7">
        <v>5.0788E-2</v>
      </c>
      <c r="C22" s="7">
        <f t="shared" si="0"/>
        <v>1.071982247354808</v>
      </c>
    </row>
    <row r="23" spans="1:3" x14ac:dyDescent="0.3">
      <c r="A23" s="6" t="s">
        <v>22</v>
      </c>
      <c r="B23" s="7">
        <v>5.0788E-2</v>
      </c>
      <c r="C23" s="7">
        <f t="shared" si="0"/>
        <v>1.071982247354808</v>
      </c>
    </row>
    <row r="24" spans="1:3" x14ac:dyDescent="0.3">
      <c r="A24" s="6" t="s">
        <v>23</v>
      </c>
      <c r="B24" s="7">
        <v>5.0788E-2</v>
      </c>
      <c r="C24" s="7">
        <f t="shared" si="0"/>
        <v>1.071982247354808</v>
      </c>
    </row>
    <row r="25" spans="1:3" x14ac:dyDescent="0.3">
      <c r="A25" s="6" t="s">
        <v>24</v>
      </c>
      <c r="B25" s="7">
        <v>5.0788E-2</v>
      </c>
      <c r="C25" s="7">
        <f t="shared" si="0"/>
        <v>1.071982247354808</v>
      </c>
    </row>
    <row r="26" spans="1:3" x14ac:dyDescent="0.3">
      <c r="A26" s="6" t="s">
        <v>25</v>
      </c>
      <c r="B26" s="7">
        <v>5.0788E-2</v>
      </c>
      <c r="C26" s="7">
        <f t="shared" si="0"/>
        <v>1.071982247354808</v>
      </c>
    </row>
    <row r="27" spans="1:3" x14ac:dyDescent="0.3">
      <c r="A27" s="6" t="s">
        <v>26</v>
      </c>
      <c r="B27" s="7">
        <v>5.0788E-2</v>
      </c>
      <c r="C27" s="7">
        <f t="shared" si="0"/>
        <v>1.071982247354808</v>
      </c>
    </row>
    <row r="28" spans="1:3" x14ac:dyDescent="0.3">
      <c r="A28" s="6" t="s">
        <v>27</v>
      </c>
      <c r="B28" s="7">
        <v>5.0788E-2</v>
      </c>
      <c r="C28" s="7">
        <f t="shared" si="0"/>
        <v>1.071982247354808</v>
      </c>
    </row>
    <row r="29" spans="1:3" x14ac:dyDescent="0.3">
      <c r="A29" s="6" t="s">
        <v>28</v>
      </c>
      <c r="B29" s="7">
        <v>5.0788E-2</v>
      </c>
      <c r="C29" s="7">
        <f t="shared" si="0"/>
        <v>1.071982247354808</v>
      </c>
    </row>
    <row r="30" spans="1:3" x14ac:dyDescent="0.3">
      <c r="A30" s="6" t="s">
        <v>29</v>
      </c>
      <c r="B30" s="7">
        <v>5.0788E-2</v>
      </c>
      <c r="C30" s="7">
        <f t="shared" si="0"/>
        <v>1.071982247354808</v>
      </c>
    </row>
    <row r="31" spans="1:3" x14ac:dyDescent="0.3">
      <c r="A31" s="6" t="s">
        <v>30</v>
      </c>
      <c r="B31" s="7">
        <v>5.0788E-2</v>
      </c>
      <c r="C31" s="7">
        <f t="shared" si="0"/>
        <v>1.071982247354808</v>
      </c>
    </row>
    <row r="32" spans="1:3" x14ac:dyDescent="0.3">
      <c r="A32" s="6" t="s">
        <v>31</v>
      </c>
      <c r="B32" s="7">
        <v>5.0788E-2</v>
      </c>
      <c r="C32" s="7">
        <f t="shared" si="0"/>
        <v>1.071982247354808</v>
      </c>
    </row>
    <row r="33" spans="1:3" x14ac:dyDescent="0.3">
      <c r="A33" s="6" t="s">
        <v>32</v>
      </c>
      <c r="B33" s="7">
        <v>5.0788E-2</v>
      </c>
      <c r="C33" s="7">
        <f t="shared" si="0"/>
        <v>1.071982247354808</v>
      </c>
    </row>
    <row r="34" spans="1:3" x14ac:dyDescent="0.3">
      <c r="A34" s="6" t="s">
        <v>33</v>
      </c>
      <c r="B34" s="7">
        <v>5.0788E-2</v>
      </c>
      <c r="C34" s="7">
        <f t="shared" si="0"/>
        <v>1.071982247354808</v>
      </c>
    </row>
    <row r="35" spans="1:3" x14ac:dyDescent="0.3">
      <c r="A35" s="6" t="s">
        <v>34</v>
      </c>
      <c r="B35" s="7">
        <v>5.0788E-2</v>
      </c>
      <c r="C35" s="7">
        <f t="shared" si="0"/>
        <v>1.071982247354808</v>
      </c>
    </row>
    <row r="36" spans="1:3" x14ac:dyDescent="0.3">
      <c r="A36" s="6" t="s">
        <v>35</v>
      </c>
      <c r="B36" s="7">
        <v>5.0788E-2</v>
      </c>
      <c r="C36" s="7">
        <f t="shared" si="0"/>
        <v>1.071982247354808</v>
      </c>
    </row>
    <row r="37" spans="1:3" x14ac:dyDescent="0.3">
      <c r="A37" s="6" t="s">
        <v>36</v>
      </c>
      <c r="B37" s="7">
        <v>5.0788E-2</v>
      </c>
      <c r="C37" s="7">
        <f t="shared" si="0"/>
        <v>1.071982247354808</v>
      </c>
    </row>
    <row r="38" spans="1:3" x14ac:dyDescent="0.3">
      <c r="A38" s="6" t="s">
        <v>37</v>
      </c>
      <c r="B38" s="7">
        <v>5.0788E-2</v>
      </c>
      <c r="C38" s="7">
        <f t="shared" si="0"/>
        <v>1.071982247354808</v>
      </c>
    </row>
    <row r="39" spans="1:3" x14ac:dyDescent="0.3">
      <c r="A39" s="6" t="s">
        <v>38</v>
      </c>
      <c r="B39" s="7">
        <v>5.0788E-2</v>
      </c>
      <c r="C39" s="7">
        <f t="shared" si="0"/>
        <v>1.071982247354808</v>
      </c>
    </row>
    <row r="40" spans="1:3" x14ac:dyDescent="0.3">
      <c r="A40" s="6" t="s">
        <v>39</v>
      </c>
      <c r="B40" s="7">
        <v>5.0788E-2</v>
      </c>
      <c r="C40" s="7">
        <f t="shared" si="0"/>
        <v>1.071982247354808</v>
      </c>
    </row>
    <row r="41" spans="1:3" x14ac:dyDescent="0.3">
      <c r="A41" s="6" t="s">
        <v>40</v>
      </c>
      <c r="B41" s="7">
        <v>5.0788E-2</v>
      </c>
      <c r="C41" s="7">
        <f t="shared" si="0"/>
        <v>1.071982247354808</v>
      </c>
    </row>
    <row r="42" spans="1:3" x14ac:dyDescent="0.3">
      <c r="A42" s="6" t="s">
        <v>41</v>
      </c>
      <c r="B42" s="7">
        <v>5.0788E-2</v>
      </c>
      <c r="C42" s="7">
        <f t="shared" si="0"/>
        <v>1.071982247354808</v>
      </c>
    </row>
    <row r="43" spans="1:3" x14ac:dyDescent="0.3">
      <c r="A43" s="6" t="s">
        <v>42</v>
      </c>
      <c r="B43" s="7">
        <v>5.0788E-2</v>
      </c>
      <c r="C43" s="7">
        <f t="shared" si="0"/>
        <v>1.071982247354808</v>
      </c>
    </row>
    <row r="44" spans="1:3" x14ac:dyDescent="0.3">
      <c r="A44" s="6" t="s">
        <v>43</v>
      </c>
      <c r="B44" s="7">
        <v>5.0788E-2</v>
      </c>
      <c r="C44" s="7">
        <f t="shared" si="0"/>
        <v>1.071982247354808</v>
      </c>
    </row>
    <row r="45" spans="1:3" x14ac:dyDescent="0.3">
      <c r="A45" s="6" t="s">
        <v>44</v>
      </c>
      <c r="B45" s="7">
        <v>5.0788E-2</v>
      </c>
      <c r="C45" s="7">
        <f t="shared" si="0"/>
        <v>1.071982247354808</v>
      </c>
    </row>
    <row r="46" spans="1:3" x14ac:dyDescent="0.3">
      <c r="A46" s="6" t="s">
        <v>45</v>
      </c>
      <c r="B46" s="7">
        <v>5.0788E-2</v>
      </c>
      <c r="C46" s="7">
        <f t="shared" si="0"/>
        <v>1.071982247354808</v>
      </c>
    </row>
    <row r="47" spans="1:3" x14ac:dyDescent="0.3">
      <c r="A47" s="6" t="s">
        <v>46</v>
      </c>
      <c r="B47" s="7">
        <v>5.0788E-2</v>
      </c>
      <c r="C47" s="7">
        <f t="shared" si="0"/>
        <v>1.071982247354808</v>
      </c>
    </row>
    <row r="48" spans="1:3" x14ac:dyDescent="0.3">
      <c r="A48" s="6" t="s">
        <v>47</v>
      </c>
      <c r="B48" s="7">
        <v>5.0788E-2</v>
      </c>
      <c r="C48" s="7">
        <f t="shared" si="0"/>
        <v>1.071982247354808</v>
      </c>
    </row>
    <row r="49" spans="1:3" x14ac:dyDescent="0.3">
      <c r="A49" s="6" t="s">
        <v>48</v>
      </c>
      <c r="B49" s="7">
        <v>5.0788E-2</v>
      </c>
      <c r="C49" s="7">
        <f t="shared" si="0"/>
        <v>1.071982247354808</v>
      </c>
    </row>
    <row r="50" spans="1:3" x14ac:dyDescent="0.3">
      <c r="A50" s="6" t="s">
        <v>49</v>
      </c>
      <c r="B50" s="7">
        <v>5.0788E-2</v>
      </c>
      <c r="C50" s="7">
        <f t="shared" si="0"/>
        <v>1.071982247354808</v>
      </c>
    </row>
    <row r="51" spans="1:3" x14ac:dyDescent="0.3">
      <c r="A51" s="6" t="s">
        <v>50</v>
      </c>
      <c r="B51" s="7">
        <v>5.0788E-2</v>
      </c>
      <c r="C51" s="7">
        <f t="shared" si="0"/>
        <v>1.071982247354808</v>
      </c>
    </row>
    <row r="52" spans="1:3" x14ac:dyDescent="0.3">
      <c r="A52" s="6" t="s">
        <v>51</v>
      </c>
      <c r="B52" s="7">
        <v>5.0788E-2</v>
      </c>
      <c r="C52" s="7">
        <f t="shared" si="0"/>
        <v>1.071982247354808</v>
      </c>
    </row>
    <row r="53" spans="1:3" x14ac:dyDescent="0.3">
      <c r="A53" s="6" t="s">
        <v>52</v>
      </c>
      <c r="B53" s="7">
        <v>5.0788E-2</v>
      </c>
      <c r="C53" s="7">
        <f t="shared" si="0"/>
        <v>1.071982247354808</v>
      </c>
    </row>
    <row r="54" spans="1:3" x14ac:dyDescent="0.3">
      <c r="A54" s="6" t="s">
        <v>53</v>
      </c>
      <c r="B54" s="7">
        <v>5.0788E-2</v>
      </c>
      <c r="C54" s="7">
        <f t="shared" si="0"/>
        <v>1.071982247354808</v>
      </c>
    </row>
    <row r="55" spans="1:3" x14ac:dyDescent="0.3">
      <c r="A55" s="6" t="s">
        <v>54</v>
      </c>
      <c r="B55" s="7">
        <v>5.0788E-2</v>
      </c>
      <c r="C55" s="7">
        <f t="shared" si="0"/>
        <v>1.071982247354808</v>
      </c>
    </row>
    <row r="56" spans="1:3" x14ac:dyDescent="0.3">
      <c r="A56" s="6" t="s">
        <v>55</v>
      </c>
      <c r="B56" s="7">
        <v>5.0788E-2</v>
      </c>
      <c r="C56" s="7">
        <f t="shared" si="0"/>
        <v>1.071982247354808</v>
      </c>
    </row>
    <row r="57" spans="1:3" x14ac:dyDescent="0.3">
      <c r="A57" s="6" t="s">
        <v>56</v>
      </c>
      <c r="B57" s="7">
        <v>5.0788E-2</v>
      </c>
      <c r="C57" s="7">
        <f t="shared" si="0"/>
        <v>1.071982247354808</v>
      </c>
    </row>
    <row r="58" spans="1:3" x14ac:dyDescent="0.3">
      <c r="A58" s="6" t="s">
        <v>57</v>
      </c>
      <c r="B58" s="7">
        <v>5.0788E-2</v>
      </c>
      <c r="C58" s="7">
        <f t="shared" si="0"/>
        <v>1.071982247354808</v>
      </c>
    </row>
    <row r="59" spans="1:3" x14ac:dyDescent="0.3">
      <c r="A59" s="6" t="s">
        <v>58</v>
      </c>
      <c r="B59" s="7">
        <v>5.0788E-2</v>
      </c>
      <c r="C59" s="7">
        <f t="shared" si="0"/>
        <v>1.071982247354808</v>
      </c>
    </row>
    <row r="60" spans="1:3" x14ac:dyDescent="0.3">
      <c r="A60" s="6" t="s">
        <v>59</v>
      </c>
      <c r="B60" s="7">
        <v>5.0788E-2</v>
      </c>
      <c r="C60" s="7">
        <f t="shared" si="0"/>
        <v>1.071982247354808</v>
      </c>
    </row>
    <row r="61" spans="1:3" x14ac:dyDescent="0.3">
      <c r="A61" s="6" t="s">
        <v>60</v>
      </c>
      <c r="B61" s="7">
        <v>5.0788E-2</v>
      </c>
      <c r="C61" s="7">
        <f t="shared" si="0"/>
        <v>1.071982247354808</v>
      </c>
    </row>
    <row r="62" spans="1:3" x14ac:dyDescent="0.3">
      <c r="A62" s="6" t="s">
        <v>61</v>
      </c>
      <c r="B62" s="7">
        <v>5.0788E-2</v>
      </c>
      <c r="C62" s="7">
        <f t="shared" si="0"/>
        <v>1.071982247354808</v>
      </c>
    </row>
    <row r="63" spans="1:3" x14ac:dyDescent="0.3">
      <c r="A63" s="6" t="s">
        <v>62</v>
      </c>
      <c r="B63" s="7">
        <v>5.0788E-2</v>
      </c>
      <c r="C63" s="7">
        <f t="shared" si="0"/>
        <v>1.071982247354808</v>
      </c>
    </row>
    <row r="64" spans="1:3" x14ac:dyDescent="0.3">
      <c r="A64" s="6" t="s">
        <v>63</v>
      </c>
      <c r="B64" s="7">
        <v>5.0788E-2</v>
      </c>
      <c r="C64" s="7">
        <f t="shared" si="0"/>
        <v>1.071982247354808</v>
      </c>
    </row>
    <row r="65" spans="1:3" x14ac:dyDescent="0.3">
      <c r="A65" s="6" t="s">
        <v>64</v>
      </c>
      <c r="B65" s="7">
        <v>5.0788E-2</v>
      </c>
      <c r="C65" s="7">
        <f t="shared" si="0"/>
        <v>1.071982247354808</v>
      </c>
    </row>
    <row r="66" spans="1:3" x14ac:dyDescent="0.3">
      <c r="A66" s="6" t="s">
        <v>65</v>
      </c>
      <c r="B66" s="7">
        <v>5.0788E-2</v>
      </c>
      <c r="C66" s="7">
        <f t="shared" si="0"/>
        <v>1.071982247354808</v>
      </c>
    </row>
    <row r="67" spans="1:3" x14ac:dyDescent="0.3">
      <c r="A67" s="6" t="s">
        <v>66</v>
      </c>
      <c r="B67" s="7">
        <v>5.0788E-2</v>
      </c>
      <c r="C67" s="7">
        <f t="shared" si="0"/>
        <v>1.071982247354808</v>
      </c>
    </row>
    <row r="68" spans="1:3" x14ac:dyDescent="0.3">
      <c r="A68" s="6" t="s">
        <v>67</v>
      </c>
      <c r="B68" s="7">
        <v>5.0788E-2</v>
      </c>
      <c r="C68" s="7">
        <f t="shared" si="0"/>
        <v>1.071982247354808</v>
      </c>
    </row>
    <row r="69" spans="1:3" x14ac:dyDescent="0.3">
      <c r="A69" s="6" t="s">
        <v>68</v>
      </c>
      <c r="B69" s="7">
        <v>5.0788E-2</v>
      </c>
      <c r="C69" s="7">
        <f t="shared" si="0"/>
        <v>1.071982247354808</v>
      </c>
    </row>
    <row r="70" spans="1:3" x14ac:dyDescent="0.3">
      <c r="A70" s="6" t="s">
        <v>69</v>
      </c>
      <c r="B70" s="7">
        <v>5.0788E-2</v>
      </c>
      <c r="C70" s="7">
        <f t="shared" si="0"/>
        <v>1.071982247354808</v>
      </c>
    </row>
    <row r="71" spans="1:3" x14ac:dyDescent="0.3">
      <c r="A71" s="6" t="s">
        <v>70</v>
      </c>
      <c r="B71" s="7">
        <v>5.0788E-2</v>
      </c>
      <c r="C71" s="7">
        <f t="shared" si="0"/>
        <v>1.071982247354808</v>
      </c>
    </row>
    <row r="72" spans="1:3" x14ac:dyDescent="0.3">
      <c r="A72" s="6" t="s">
        <v>71</v>
      </c>
      <c r="B72" s="7">
        <v>5.0788E-2</v>
      </c>
      <c r="C72" s="7">
        <f t="shared" ref="C72:C135" si="1">((1+B72/100)^21-1)*100</f>
        <v>1.071982247354808</v>
      </c>
    </row>
    <row r="73" spans="1:3" x14ac:dyDescent="0.3">
      <c r="A73" s="6" t="s">
        <v>72</v>
      </c>
      <c r="B73" s="7">
        <v>5.0788E-2</v>
      </c>
      <c r="C73" s="7">
        <f t="shared" si="1"/>
        <v>1.071982247354808</v>
      </c>
    </row>
    <row r="74" spans="1:3" x14ac:dyDescent="0.3">
      <c r="A74" s="6" t="s">
        <v>73</v>
      </c>
      <c r="B74" s="7">
        <v>5.0788E-2</v>
      </c>
      <c r="C74" s="7">
        <f t="shared" si="1"/>
        <v>1.071982247354808</v>
      </c>
    </row>
    <row r="75" spans="1:3" x14ac:dyDescent="0.3">
      <c r="A75" s="6" t="s">
        <v>74</v>
      </c>
      <c r="B75" s="7">
        <v>5.0788E-2</v>
      </c>
      <c r="C75" s="7">
        <f t="shared" si="1"/>
        <v>1.071982247354808</v>
      </c>
    </row>
    <row r="76" spans="1:3" x14ac:dyDescent="0.3">
      <c r="A76" s="6" t="s">
        <v>75</v>
      </c>
      <c r="B76" s="7">
        <v>5.0788E-2</v>
      </c>
      <c r="C76" s="7">
        <f t="shared" si="1"/>
        <v>1.071982247354808</v>
      </c>
    </row>
    <row r="77" spans="1:3" x14ac:dyDescent="0.3">
      <c r="A77" s="6" t="s">
        <v>76</v>
      </c>
      <c r="B77" s="7">
        <v>5.0788E-2</v>
      </c>
      <c r="C77" s="7">
        <f t="shared" si="1"/>
        <v>1.071982247354808</v>
      </c>
    </row>
    <row r="78" spans="1:3" x14ac:dyDescent="0.3">
      <c r="A78" s="6" t="s">
        <v>77</v>
      </c>
      <c r="B78" s="7">
        <v>5.0788E-2</v>
      </c>
      <c r="C78" s="7">
        <f t="shared" si="1"/>
        <v>1.071982247354808</v>
      </c>
    </row>
    <row r="79" spans="1:3" x14ac:dyDescent="0.3">
      <c r="A79" s="6" t="s">
        <v>78</v>
      </c>
      <c r="B79" s="7">
        <v>5.0788E-2</v>
      </c>
      <c r="C79" s="7">
        <f t="shared" si="1"/>
        <v>1.071982247354808</v>
      </c>
    </row>
    <row r="80" spans="1:3" x14ac:dyDescent="0.3">
      <c r="A80" s="6" t="s">
        <v>79</v>
      </c>
      <c r="B80" s="7">
        <v>5.0788E-2</v>
      </c>
      <c r="C80" s="7">
        <f t="shared" si="1"/>
        <v>1.071982247354808</v>
      </c>
    </row>
    <row r="81" spans="1:3" x14ac:dyDescent="0.3">
      <c r="A81" s="6" t="s">
        <v>80</v>
      </c>
      <c r="B81" s="7">
        <v>5.0788E-2</v>
      </c>
      <c r="C81" s="7">
        <f t="shared" si="1"/>
        <v>1.071982247354808</v>
      </c>
    </row>
    <row r="82" spans="1:3" x14ac:dyDescent="0.3">
      <c r="A82" s="6" t="s">
        <v>81</v>
      </c>
      <c r="B82" s="7">
        <v>5.0788E-2</v>
      </c>
      <c r="C82" s="7">
        <f t="shared" si="1"/>
        <v>1.071982247354808</v>
      </c>
    </row>
    <row r="83" spans="1:3" x14ac:dyDescent="0.3">
      <c r="A83" s="6" t="s">
        <v>82</v>
      </c>
      <c r="B83" s="7">
        <v>5.0788E-2</v>
      </c>
      <c r="C83" s="7">
        <f t="shared" si="1"/>
        <v>1.071982247354808</v>
      </c>
    </row>
    <row r="84" spans="1:3" x14ac:dyDescent="0.3">
      <c r="A84" s="6" t="s">
        <v>83</v>
      </c>
      <c r="B84" s="7">
        <v>5.0788E-2</v>
      </c>
      <c r="C84" s="7">
        <f t="shared" si="1"/>
        <v>1.071982247354808</v>
      </c>
    </row>
    <row r="85" spans="1:3" x14ac:dyDescent="0.3">
      <c r="A85" s="6" t="s">
        <v>84</v>
      </c>
      <c r="B85" s="7">
        <v>5.0788E-2</v>
      </c>
      <c r="C85" s="7">
        <f t="shared" si="1"/>
        <v>1.071982247354808</v>
      </c>
    </row>
    <row r="86" spans="1:3" x14ac:dyDescent="0.3">
      <c r="A86" s="6" t="s">
        <v>85</v>
      </c>
      <c r="B86" s="7">
        <v>5.0788E-2</v>
      </c>
      <c r="C86" s="7">
        <f t="shared" si="1"/>
        <v>1.071982247354808</v>
      </c>
    </row>
    <row r="87" spans="1:3" x14ac:dyDescent="0.3">
      <c r="A87" s="6" t="s">
        <v>86</v>
      </c>
      <c r="B87" s="7">
        <v>5.0788E-2</v>
      </c>
      <c r="C87" s="7">
        <f t="shared" si="1"/>
        <v>1.071982247354808</v>
      </c>
    </row>
    <row r="88" spans="1:3" x14ac:dyDescent="0.3">
      <c r="A88" s="6" t="s">
        <v>87</v>
      </c>
      <c r="B88" s="7">
        <v>5.0788E-2</v>
      </c>
      <c r="C88" s="7">
        <f t="shared" si="1"/>
        <v>1.071982247354808</v>
      </c>
    </row>
    <row r="89" spans="1:3" x14ac:dyDescent="0.3">
      <c r="A89" s="6" t="s">
        <v>88</v>
      </c>
      <c r="B89" s="7">
        <v>5.0788E-2</v>
      </c>
      <c r="C89" s="7">
        <f t="shared" si="1"/>
        <v>1.071982247354808</v>
      </c>
    </row>
    <row r="90" spans="1:3" x14ac:dyDescent="0.3">
      <c r="A90" s="6" t="s">
        <v>89</v>
      </c>
      <c r="B90" s="7">
        <v>5.0788E-2</v>
      </c>
      <c r="C90" s="7">
        <f t="shared" si="1"/>
        <v>1.071982247354808</v>
      </c>
    </row>
    <row r="91" spans="1:3" x14ac:dyDescent="0.3">
      <c r="A91" s="6" t="s">
        <v>90</v>
      </c>
      <c r="B91" s="7">
        <v>5.0788E-2</v>
      </c>
      <c r="C91" s="7">
        <f t="shared" si="1"/>
        <v>1.071982247354808</v>
      </c>
    </row>
    <row r="92" spans="1:3" x14ac:dyDescent="0.3">
      <c r="A92" s="6" t="s">
        <v>91</v>
      </c>
      <c r="B92" s="7">
        <v>5.0788E-2</v>
      </c>
      <c r="C92" s="7">
        <f t="shared" si="1"/>
        <v>1.071982247354808</v>
      </c>
    </row>
    <row r="93" spans="1:3" x14ac:dyDescent="0.3">
      <c r="A93" s="6" t="s">
        <v>92</v>
      </c>
      <c r="B93" s="7">
        <v>5.0788E-2</v>
      </c>
      <c r="C93" s="7">
        <f t="shared" si="1"/>
        <v>1.071982247354808</v>
      </c>
    </row>
    <row r="94" spans="1:3" x14ac:dyDescent="0.3">
      <c r="A94" s="6" t="s">
        <v>93</v>
      </c>
      <c r="B94" s="7">
        <v>5.0788E-2</v>
      </c>
      <c r="C94" s="7">
        <f t="shared" si="1"/>
        <v>1.071982247354808</v>
      </c>
    </row>
    <row r="95" spans="1:3" x14ac:dyDescent="0.3">
      <c r="A95" s="6" t="s">
        <v>94</v>
      </c>
      <c r="B95" s="7">
        <v>5.0788E-2</v>
      </c>
      <c r="C95" s="7">
        <f t="shared" si="1"/>
        <v>1.071982247354808</v>
      </c>
    </row>
    <row r="96" spans="1:3" x14ac:dyDescent="0.3">
      <c r="A96" s="6" t="s">
        <v>95</v>
      </c>
      <c r="B96" s="7">
        <v>5.0788E-2</v>
      </c>
      <c r="C96" s="7">
        <f t="shared" si="1"/>
        <v>1.071982247354808</v>
      </c>
    </row>
    <row r="97" spans="1:3" x14ac:dyDescent="0.3">
      <c r="A97" s="6" t="s">
        <v>96</v>
      </c>
      <c r="B97" s="7">
        <v>5.0788E-2</v>
      </c>
      <c r="C97" s="7">
        <f t="shared" si="1"/>
        <v>1.071982247354808</v>
      </c>
    </row>
    <row r="98" spans="1:3" x14ac:dyDescent="0.3">
      <c r="A98" s="6" t="s">
        <v>97</v>
      </c>
      <c r="B98" s="7">
        <v>5.0788E-2</v>
      </c>
      <c r="C98" s="7">
        <f t="shared" si="1"/>
        <v>1.071982247354808</v>
      </c>
    </row>
    <row r="99" spans="1:3" x14ac:dyDescent="0.3">
      <c r="A99" s="6" t="s">
        <v>98</v>
      </c>
      <c r="B99" s="7">
        <v>5.0788E-2</v>
      </c>
      <c r="C99" s="7">
        <f t="shared" si="1"/>
        <v>1.071982247354808</v>
      </c>
    </row>
    <row r="100" spans="1:3" x14ac:dyDescent="0.3">
      <c r="A100" s="6" t="s">
        <v>99</v>
      </c>
      <c r="B100" s="7">
        <v>5.0788E-2</v>
      </c>
      <c r="C100" s="7">
        <f t="shared" si="1"/>
        <v>1.071982247354808</v>
      </c>
    </row>
    <row r="101" spans="1:3" x14ac:dyDescent="0.3">
      <c r="A101" s="6" t="s">
        <v>100</v>
      </c>
      <c r="B101" s="7">
        <v>5.0788E-2</v>
      </c>
      <c r="C101" s="7">
        <f t="shared" si="1"/>
        <v>1.071982247354808</v>
      </c>
    </row>
    <row r="102" spans="1:3" x14ac:dyDescent="0.3">
      <c r="A102" s="6" t="s">
        <v>101</v>
      </c>
      <c r="B102" s="7">
        <v>5.0788E-2</v>
      </c>
      <c r="C102" s="7">
        <f t="shared" si="1"/>
        <v>1.071982247354808</v>
      </c>
    </row>
    <row r="103" spans="1:3" x14ac:dyDescent="0.3">
      <c r="A103" s="6" t="s">
        <v>102</v>
      </c>
      <c r="B103" s="7">
        <v>5.0788E-2</v>
      </c>
      <c r="C103" s="7">
        <f t="shared" si="1"/>
        <v>1.071982247354808</v>
      </c>
    </row>
    <row r="104" spans="1:3" x14ac:dyDescent="0.3">
      <c r="A104" s="6" t="s">
        <v>103</v>
      </c>
      <c r="B104" s="7">
        <v>5.0788E-2</v>
      </c>
      <c r="C104" s="7">
        <f t="shared" si="1"/>
        <v>1.071982247354808</v>
      </c>
    </row>
    <row r="105" spans="1:3" x14ac:dyDescent="0.3">
      <c r="A105" s="6" t="s">
        <v>104</v>
      </c>
      <c r="B105" s="7">
        <v>5.0788E-2</v>
      </c>
      <c r="C105" s="7">
        <f t="shared" si="1"/>
        <v>1.071982247354808</v>
      </c>
    </row>
    <row r="106" spans="1:3" x14ac:dyDescent="0.3">
      <c r="A106" s="6" t="s">
        <v>105</v>
      </c>
      <c r="B106" s="7">
        <v>5.0788E-2</v>
      </c>
      <c r="C106" s="7">
        <f t="shared" si="1"/>
        <v>1.071982247354808</v>
      </c>
    </row>
    <row r="107" spans="1:3" x14ac:dyDescent="0.3">
      <c r="A107" s="6" t="s">
        <v>106</v>
      </c>
      <c r="B107" s="7">
        <v>5.0788E-2</v>
      </c>
      <c r="C107" s="7">
        <f t="shared" si="1"/>
        <v>1.071982247354808</v>
      </c>
    </row>
    <row r="108" spans="1:3" x14ac:dyDescent="0.3">
      <c r="A108" s="6" t="s">
        <v>107</v>
      </c>
      <c r="B108" s="7">
        <v>5.0788E-2</v>
      </c>
      <c r="C108" s="7">
        <f t="shared" si="1"/>
        <v>1.071982247354808</v>
      </c>
    </row>
    <row r="109" spans="1:3" x14ac:dyDescent="0.3">
      <c r="A109" s="6" t="s">
        <v>108</v>
      </c>
      <c r="B109" s="7">
        <v>5.0788E-2</v>
      </c>
      <c r="C109" s="7">
        <f t="shared" si="1"/>
        <v>1.071982247354808</v>
      </c>
    </row>
    <row r="110" spans="1:3" x14ac:dyDescent="0.3">
      <c r="A110" s="6" t="s">
        <v>109</v>
      </c>
      <c r="B110" s="7">
        <v>5.0788E-2</v>
      </c>
      <c r="C110" s="7">
        <f t="shared" si="1"/>
        <v>1.071982247354808</v>
      </c>
    </row>
    <row r="111" spans="1:3" x14ac:dyDescent="0.3">
      <c r="A111" s="6" t="s">
        <v>110</v>
      </c>
      <c r="B111" s="7">
        <v>5.0788E-2</v>
      </c>
      <c r="C111" s="7">
        <f t="shared" si="1"/>
        <v>1.071982247354808</v>
      </c>
    </row>
    <row r="112" spans="1:3" x14ac:dyDescent="0.3">
      <c r="A112" s="6" t="s">
        <v>111</v>
      </c>
      <c r="B112" s="7">
        <v>5.0788E-2</v>
      </c>
      <c r="C112" s="7">
        <f t="shared" si="1"/>
        <v>1.071982247354808</v>
      </c>
    </row>
    <row r="113" spans="1:3" x14ac:dyDescent="0.3">
      <c r="A113" s="6" t="s">
        <v>112</v>
      </c>
      <c r="B113" s="7">
        <v>5.0788E-2</v>
      </c>
      <c r="C113" s="7">
        <f t="shared" si="1"/>
        <v>1.071982247354808</v>
      </c>
    </row>
    <row r="114" spans="1:3" x14ac:dyDescent="0.3">
      <c r="A114" s="6" t="s">
        <v>113</v>
      </c>
      <c r="B114" s="7">
        <v>5.0788E-2</v>
      </c>
      <c r="C114" s="7">
        <f t="shared" si="1"/>
        <v>1.071982247354808</v>
      </c>
    </row>
    <row r="115" spans="1:3" x14ac:dyDescent="0.3">
      <c r="A115" s="6" t="s">
        <v>114</v>
      </c>
      <c r="B115" s="7">
        <v>5.0788E-2</v>
      </c>
      <c r="C115" s="7">
        <f t="shared" si="1"/>
        <v>1.071982247354808</v>
      </c>
    </row>
    <row r="116" spans="1:3" x14ac:dyDescent="0.3">
      <c r="A116" s="6" t="s">
        <v>115</v>
      </c>
      <c r="B116" s="7">
        <v>5.0788E-2</v>
      </c>
      <c r="C116" s="7">
        <f t="shared" si="1"/>
        <v>1.071982247354808</v>
      </c>
    </row>
    <row r="117" spans="1:3" x14ac:dyDescent="0.3">
      <c r="A117" s="6" t="s">
        <v>116</v>
      </c>
      <c r="B117" s="7">
        <v>5.0788E-2</v>
      </c>
      <c r="C117" s="7">
        <f t="shared" si="1"/>
        <v>1.071982247354808</v>
      </c>
    </row>
    <row r="118" spans="1:3" x14ac:dyDescent="0.3">
      <c r="A118" s="6" t="s">
        <v>117</v>
      </c>
      <c r="B118" s="7">
        <v>5.0788E-2</v>
      </c>
      <c r="C118" s="7">
        <f t="shared" si="1"/>
        <v>1.071982247354808</v>
      </c>
    </row>
    <row r="119" spans="1:3" x14ac:dyDescent="0.3">
      <c r="A119" s="6" t="s">
        <v>118</v>
      </c>
      <c r="B119" s="7">
        <v>5.0788E-2</v>
      </c>
      <c r="C119" s="7">
        <f t="shared" si="1"/>
        <v>1.071982247354808</v>
      </c>
    </row>
    <row r="120" spans="1:3" x14ac:dyDescent="0.3">
      <c r="A120" s="6" t="s">
        <v>119</v>
      </c>
      <c r="B120" s="7">
        <v>5.0788E-2</v>
      </c>
      <c r="C120" s="7">
        <f t="shared" si="1"/>
        <v>1.071982247354808</v>
      </c>
    </row>
    <row r="121" spans="1:3" x14ac:dyDescent="0.3">
      <c r="A121" s="6" t="s">
        <v>120</v>
      </c>
      <c r="B121" s="7">
        <v>5.0788E-2</v>
      </c>
      <c r="C121" s="7">
        <f t="shared" si="1"/>
        <v>1.071982247354808</v>
      </c>
    </row>
    <row r="122" spans="1:3" x14ac:dyDescent="0.3">
      <c r="A122" s="6" t="s">
        <v>121</v>
      </c>
      <c r="B122" s="7">
        <v>5.0788E-2</v>
      </c>
      <c r="C122" s="7">
        <f t="shared" si="1"/>
        <v>1.071982247354808</v>
      </c>
    </row>
    <row r="123" spans="1:3" x14ac:dyDescent="0.3">
      <c r="A123" s="6" t="s">
        <v>122</v>
      </c>
      <c r="B123" s="7">
        <v>5.0788E-2</v>
      </c>
      <c r="C123" s="7">
        <f t="shared" si="1"/>
        <v>1.071982247354808</v>
      </c>
    </row>
    <row r="124" spans="1:3" x14ac:dyDescent="0.3">
      <c r="A124" s="6" t="s">
        <v>123</v>
      </c>
      <c r="B124" s="7">
        <v>5.0788E-2</v>
      </c>
      <c r="C124" s="7">
        <f t="shared" si="1"/>
        <v>1.071982247354808</v>
      </c>
    </row>
    <row r="125" spans="1:3" x14ac:dyDescent="0.3">
      <c r="A125" s="6" t="s">
        <v>124</v>
      </c>
      <c r="B125" s="7">
        <v>5.0788E-2</v>
      </c>
      <c r="C125" s="7">
        <f t="shared" si="1"/>
        <v>1.071982247354808</v>
      </c>
    </row>
    <row r="126" spans="1:3" x14ac:dyDescent="0.3">
      <c r="A126" s="6" t="s">
        <v>125</v>
      </c>
      <c r="B126" s="7">
        <v>5.0788E-2</v>
      </c>
      <c r="C126" s="7">
        <f t="shared" si="1"/>
        <v>1.071982247354808</v>
      </c>
    </row>
    <row r="127" spans="1:3" x14ac:dyDescent="0.3">
      <c r="A127" s="6" t="s">
        <v>126</v>
      </c>
      <c r="B127" s="7">
        <v>5.0788E-2</v>
      </c>
      <c r="C127" s="7">
        <f t="shared" si="1"/>
        <v>1.071982247354808</v>
      </c>
    </row>
    <row r="128" spans="1:3" x14ac:dyDescent="0.3">
      <c r="A128" s="6" t="s">
        <v>127</v>
      </c>
      <c r="B128" s="7">
        <v>5.0788E-2</v>
      </c>
      <c r="C128" s="7">
        <f t="shared" si="1"/>
        <v>1.071982247354808</v>
      </c>
    </row>
    <row r="129" spans="1:3" x14ac:dyDescent="0.3">
      <c r="A129" s="6" t="s">
        <v>128</v>
      </c>
      <c r="B129" s="7">
        <v>5.0788E-2</v>
      </c>
      <c r="C129" s="7">
        <f t="shared" si="1"/>
        <v>1.071982247354808</v>
      </c>
    </row>
    <row r="130" spans="1:3" x14ac:dyDescent="0.3">
      <c r="A130" s="6" t="s">
        <v>129</v>
      </c>
      <c r="B130" s="7">
        <v>5.0788E-2</v>
      </c>
      <c r="C130" s="7">
        <f t="shared" si="1"/>
        <v>1.071982247354808</v>
      </c>
    </row>
    <row r="131" spans="1:3" x14ac:dyDescent="0.3">
      <c r="A131" s="6" t="s">
        <v>130</v>
      </c>
      <c r="B131" s="7">
        <v>5.0788E-2</v>
      </c>
      <c r="C131" s="7">
        <f t="shared" si="1"/>
        <v>1.071982247354808</v>
      </c>
    </row>
    <row r="132" spans="1:3" x14ac:dyDescent="0.3">
      <c r="A132" s="6" t="s">
        <v>131</v>
      </c>
      <c r="B132" s="7">
        <v>5.0788E-2</v>
      </c>
      <c r="C132" s="7">
        <f t="shared" si="1"/>
        <v>1.071982247354808</v>
      </c>
    </row>
    <row r="133" spans="1:3" x14ac:dyDescent="0.3">
      <c r="A133" s="6" t="s">
        <v>132</v>
      </c>
      <c r="B133" s="7">
        <v>5.0788E-2</v>
      </c>
      <c r="C133" s="7">
        <f t="shared" si="1"/>
        <v>1.071982247354808</v>
      </c>
    </row>
    <row r="134" spans="1:3" x14ac:dyDescent="0.3">
      <c r="A134" s="6" t="s">
        <v>133</v>
      </c>
      <c r="B134" s="7">
        <v>5.0788E-2</v>
      </c>
      <c r="C134" s="7">
        <f t="shared" si="1"/>
        <v>1.071982247354808</v>
      </c>
    </row>
    <row r="135" spans="1:3" x14ac:dyDescent="0.3">
      <c r="A135" s="6" t="s">
        <v>134</v>
      </c>
      <c r="B135" s="7">
        <v>5.0788E-2</v>
      </c>
      <c r="C135" s="7">
        <f t="shared" si="1"/>
        <v>1.071982247354808</v>
      </c>
    </row>
    <row r="136" spans="1:3" x14ac:dyDescent="0.3">
      <c r="A136" s="6" t="s">
        <v>135</v>
      </c>
      <c r="B136" s="7">
        <v>5.0788E-2</v>
      </c>
      <c r="C136" s="7">
        <f t="shared" ref="C136:C199" si="2">((1+B136/100)^21-1)*100</f>
        <v>1.071982247354808</v>
      </c>
    </row>
    <row r="137" spans="1:3" x14ac:dyDescent="0.3">
      <c r="A137" s="6" t="s">
        <v>136</v>
      </c>
      <c r="B137" s="7">
        <v>5.0788E-2</v>
      </c>
      <c r="C137" s="7">
        <f t="shared" si="2"/>
        <v>1.071982247354808</v>
      </c>
    </row>
    <row r="138" spans="1:3" x14ac:dyDescent="0.3">
      <c r="A138" s="6" t="s">
        <v>137</v>
      </c>
      <c r="B138" s="7">
        <v>5.0788E-2</v>
      </c>
      <c r="C138" s="7">
        <f t="shared" si="2"/>
        <v>1.071982247354808</v>
      </c>
    </row>
    <row r="139" spans="1:3" x14ac:dyDescent="0.3">
      <c r="A139" s="6" t="s">
        <v>138</v>
      </c>
      <c r="B139" s="7">
        <v>5.0788E-2</v>
      </c>
      <c r="C139" s="7">
        <f t="shared" si="2"/>
        <v>1.071982247354808</v>
      </c>
    </row>
    <row r="140" spans="1:3" x14ac:dyDescent="0.3">
      <c r="A140" s="6" t="s">
        <v>139</v>
      </c>
      <c r="B140" s="7">
        <v>5.0788E-2</v>
      </c>
      <c r="C140" s="7">
        <f t="shared" si="2"/>
        <v>1.071982247354808</v>
      </c>
    </row>
    <row r="141" spans="1:3" x14ac:dyDescent="0.3">
      <c r="A141" s="6" t="s">
        <v>140</v>
      </c>
      <c r="B141" s="7">
        <v>5.0788E-2</v>
      </c>
      <c r="C141" s="7">
        <f t="shared" si="2"/>
        <v>1.071982247354808</v>
      </c>
    </row>
    <row r="142" spans="1:3" x14ac:dyDescent="0.3">
      <c r="A142" s="6" t="s">
        <v>141</v>
      </c>
      <c r="B142" s="7">
        <v>5.0788E-2</v>
      </c>
      <c r="C142" s="7">
        <f t="shared" si="2"/>
        <v>1.071982247354808</v>
      </c>
    </row>
    <row r="143" spans="1:3" x14ac:dyDescent="0.3">
      <c r="A143" s="6" t="s">
        <v>142</v>
      </c>
      <c r="B143" s="7">
        <v>5.0788E-2</v>
      </c>
      <c r="C143" s="7">
        <f t="shared" si="2"/>
        <v>1.071982247354808</v>
      </c>
    </row>
    <row r="144" spans="1:3" x14ac:dyDescent="0.3">
      <c r="A144" s="6" t="s">
        <v>143</v>
      </c>
      <c r="B144" s="7">
        <v>5.0788E-2</v>
      </c>
      <c r="C144" s="7">
        <f t="shared" si="2"/>
        <v>1.071982247354808</v>
      </c>
    </row>
    <row r="145" spans="1:3" x14ac:dyDescent="0.3">
      <c r="A145" s="6" t="s">
        <v>144</v>
      </c>
      <c r="B145" s="7">
        <v>5.0788E-2</v>
      </c>
      <c r="C145" s="7">
        <f t="shared" si="2"/>
        <v>1.071982247354808</v>
      </c>
    </row>
    <row r="146" spans="1:3" x14ac:dyDescent="0.3">
      <c r="A146" s="6" t="s">
        <v>145</v>
      </c>
      <c r="B146" s="7">
        <v>5.0788E-2</v>
      </c>
      <c r="C146" s="7">
        <f t="shared" si="2"/>
        <v>1.071982247354808</v>
      </c>
    </row>
    <row r="147" spans="1:3" x14ac:dyDescent="0.3">
      <c r="A147" s="6" t="s">
        <v>146</v>
      </c>
      <c r="B147" s="7">
        <v>5.0788E-2</v>
      </c>
      <c r="C147" s="7">
        <f t="shared" si="2"/>
        <v>1.071982247354808</v>
      </c>
    </row>
    <row r="148" spans="1:3" x14ac:dyDescent="0.3">
      <c r="A148" s="6" t="s">
        <v>147</v>
      </c>
      <c r="B148" s="7">
        <v>5.0788E-2</v>
      </c>
      <c r="C148" s="7">
        <f t="shared" si="2"/>
        <v>1.071982247354808</v>
      </c>
    </row>
    <row r="149" spans="1:3" x14ac:dyDescent="0.3">
      <c r="A149" s="6" t="s">
        <v>148</v>
      </c>
      <c r="B149" s="7">
        <v>5.0788E-2</v>
      </c>
      <c r="C149" s="7">
        <f t="shared" si="2"/>
        <v>1.071982247354808</v>
      </c>
    </row>
    <row r="150" spans="1:3" x14ac:dyDescent="0.3">
      <c r="A150" s="6" t="s">
        <v>149</v>
      </c>
      <c r="B150" s="7">
        <v>5.0788E-2</v>
      </c>
      <c r="C150" s="7">
        <f t="shared" si="2"/>
        <v>1.071982247354808</v>
      </c>
    </row>
    <row r="151" spans="1:3" x14ac:dyDescent="0.3">
      <c r="A151" s="6" t="s">
        <v>150</v>
      </c>
      <c r="B151" s="7">
        <v>5.0788E-2</v>
      </c>
      <c r="C151" s="7">
        <f t="shared" si="2"/>
        <v>1.071982247354808</v>
      </c>
    </row>
    <row r="152" spans="1:3" x14ac:dyDescent="0.3">
      <c r="A152" s="6" t="s">
        <v>151</v>
      </c>
      <c r="B152" s="7">
        <v>5.0788E-2</v>
      </c>
      <c r="C152" s="7">
        <f t="shared" si="2"/>
        <v>1.071982247354808</v>
      </c>
    </row>
    <row r="153" spans="1:3" x14ac:dyDescent="0.3">
      <c r="A153" s="6" t="s">
        <v>152</v>
      </c>
      <c r="B153" s="7">
        <v>5.0788E-2</v>
      </c>
      <c r="C153" s="7">
        <f t="shared" si="2"/>
        <v>1.071982247354808</v>
      </c>
    </row>
    <row r="154" spans="1:3" x14ac:dyDescent="0.3">
      <c r="A154" s="6" t="s">
        <v>153</v>
      </c>
      <c r="B154" s="7">
        <v>5.0788E-2</v>
      </c>
      <c r="C154" s="7">
        <f t="shared" si="2"/>
        <v>1.071982247354808</v>
      </c>
    </row>
    <row r="155" spans="1:3" x14ac:dyDescent="0.3">
      <c r="A155" s="6" t="s">
        <v>154</v>
      </c>
      <c r="B155" s="7">
        <v>4.9036999999999997E-2</v>
      </c>
      <c r="C155" s="7">
        <f t="shared" si="2"/>
        <v>1.0348424349291063</v>
      </c>
    </row>
    <row r="156" spans="1:3" x14ac:dyDescent="0.3">
      <c r="A156" s="6" t="s">
        <v>155</v>
      </c>
      <c r="B156" s="7">
        <v>4.9036999999999997E-2</v>
      </c>
      <c r="C156" s="7">
        <f t="shared" si="2"/>
        <v>1.0348424349291063</v>
      </c>
    </row>
    <row r="157" spans="1:3" x14ac:dyDescent="0.3">
      <c r="A157" s="6" t="s">
        <v>156</v>
      </c>
      <c r="B157" s="7">
        <v>4.9036999999999997E-2</v>
      </c>
      <c r="C157" s="7">
        <f t="shared" si="2"/>
        <v>1.0348424349291063</v>
      </c>
    </row>
    <row r="158" spans="1:3" x14ac:dyDescent="0.3">
      <c r="A158" s="6" t="s">
        <v>157</v>
      </c>
      <c r="B158" s="7">
        <v>4.9036999999999997E-2</v>
      </c>
      <c r="C158" s="7">
        <f t="shared" si="2"/>
        <v>1.0348424349291063</v>
      </c>
    </row>
    <row r="159" spans="1:3" x14ac:dyDescent="0.3">
      <c r="A159" s="6" t="s">
        <v>158</v>
      </c>
      <c r="B159" s="7">
        <v>4.9036999999999997E-2</v>
      </c>
      <c r="C159" s="7">
        <f t="shared" si="2"/>
        <v>1.0348424349291063</v>
      </c>
    </row>
    <row r="160" spans="1:3" x14ac:dyDescent="0.3">
      <c r="A160" s="6" t="s">
        <v>159</v>
      </c>
      <c r="B160" s="7">
        <v>4.9036999999999997E-2</v>
      </c>
      <c r="C160" s="7">
        <f t="shared" si="2"/>
        <v>1.0348424349291063</v>
      </c>
    </row>
    <row r="161" spans="1:3" x14ac:dyDescent="0.3">
      <c r="A161" s="6" t="s">
        <v>160</v>
      </c>
      <c r="B161" s="7">
        <v>4.9036999999999997E-2</v>
      </c>
      <c r="C161" s="7">
        <f t="shared" si="2"/>
        <v>1.0348424349291063</v>
      </c>
    </row>
    <row r="162" spans="1:3" x14ac:dyDescent="0.3">
      <c r="A162" s="6" t="s">
        <v>161</v>
      </c>
      <c r="B162" s="7">
        <v>4.9036999999999997E-2</v>
      </c>
      <c r="C162" s="7">
        <f t="shared" si="2"/>
        <v>1.0348424349291063</v>
      </c>
    </row>
    <row r="163" spans="1:3" x14ac:dyDescent="0.3">
      <c r="A163" s="6" t="s">
        <v>162</v>
      </c>
      <c r="B163" s="7">
        <v>4.9036999999999997E-2</v>
      </c>
      <c r="C163" s="7">
        <f t="shared" si="2"/>
        <v>1.0348424349291063</v>
      </c>
    </row>
    <row r="164" spans="1:3" x14ac:dyDescent="0.3">
      <c r="A164" s="6" t="s">
        <v>163</v>
      </c>
      <c r="B164" s="7">
        <v>4.9036999999999997E-2</v>
      </c>
      <c r="C164" s="7">
        <f t="shared" si="2"/>
        <v>1.0348424349291063</v>
      </c>
    </row>
    <row r="165" spans="1:3" x14ac:dyDescent="0.3">
      <c r="A165" s="6" t="s">
        <v>164</v>
      </c>
      <c r="B165" s="7">
        <v>4.9036999999999997E-2</v>
      </c>
      <c r="C165" s="7">
        <f t="shared" si="2"/>
        <v>1.0348424349291063</v>
      </c>
    </row>
    <row r="166" spans="1:3" x14ac:dyDescent="0.3">
      <c r="A166" s="6" t="s">
        <v>165</v>
      </c>
      <c r="B166" s="7">
        <v>4.9036999999999997E-2</v>
      </c>
      <c r="C166" s="7">
        <f t="shared" si="2"/>
        <v>1.0348424349291063</v>
      </c>
    </row>
    <row r="167" spans="1:3" x14ac:dyDescent="0.3">
      <c r="A167" s="6" t="s">
        <v>166</v>
      </c>
      <c r="B167" s="7">
        <v>4.9036999999999997E-2</v>
      </c>
      <c r="C167" s="7">
        <f t="shared" si="2"/>
        <v>1.0348424349291063</v>
      </c>
    </row>
    <row r="168" spans="1:3" x14ac:dyDescent="0.3">
      <c r="A168" s="6" t="s">
        <v>167</v>
      </c>
      <c r="B168" s="7">
        <v>4.9036999999999997E-2</v>
      </c>
      <c r="C168" s="7">
        <f t="shared" si="2"/>
        <v>1.0348424349291063</v>
      </c>
    </row>
    <row r="169" spans="1:3" x14ac:dyDescent="0.3">
      <c r="A169" s="6" t="s">
        <v>168</v>
      </c>
      <c r="B169" s="7">
        <v>4.9036999999999997E-2</v>
      </c>
      <c r="C169" s="7">
        <f t="shared" si="2"/>
        <v>1.0348424349291063</v>
      </c>
    </row>
    <row r="170" spans="1:3" x14ac:dyDescent="0.3">
      <c r="A170" s="6" t="s">
        <v>169</v>
      </c>
      <c r="B170" s="7">
        <v>4.9036999999999997E-2</v>
      </c>
      <c r="C170" s="7">
        <f t="shared" si="2"/>
        <v>1.0348424349291063</v>
      </c>
    </row>
    <row r="171" spans="1:3" x14ac:dyDescent="0.3">
      <c r="A171" s="6" t="s">
        <v>170</v>
      </c>
      <c r="B171" s="7">
        <v>4.9036999999999997E-2</v>
      </c>
      <c r="C171" s="7">
        <f t="shared" si="2"/>
        <v>1.0348424349291063</v>
      </c>
    </row>
    <row r="172" spans="1:3" x14ac:dyDescent="0.3">
      <c r="A172" s="6" t="s">
        <v>171</v>
      </c>
      <c r="B172" s="7">
        <v>4.9036999999999997E-2</v>
      </c>
      <c r="C172" s="7">
        <f t="shared" si="2"/>
        <v>1.0348424349291063</v>
      </c>
    </row>
    <row r="173" spans="1:3" x14ac:dyDescent="0.3">
      <c r="A173" s="6" t="s">
        <v>172</v>
      </c>
      <c r="B173" s="7">
        <v>4.9036999999999997E-2</v>
      </c>
      <c r="C173" s="7">
        <f t="shared" si="2"/>
        <v>1.0348424349291063</v>
      </c>
    </row>
    <row r="174" spans="1:3" x14ac:dyDescent="0.3">
      <c r="A174" s="6" t="s">
        <v>173</v>
      </c>
      <c r="B174" s="7">
        <v>4.9036999999999997E-2</v>
      </c>
      <c r="C174" s="7">
        <f t="shared" si="2"/>
        <v>1.0348424349291063</v>
      </c>
    </row>
    <row r="175" spans="1:3" x14ac:dyDescent="0.3">
      <c r="A175" s="6" t="s">
        <v>174</v>
      </c>
      <c r="B175" s="7">
        <v>4.9036999999999997E-2</v>
      </c>
      <c r="C175" s="7">
        <f t="shared" si="2"/>
        <v>1.0348424349291063</v>
      </c>
    </row>
    <row r="176" spans="1:3" x14ac:dyDescent="0.3">
      <c r="A176" s="6" t="s">
        <v>175</v>
      </c>
      <c r="B176" s="7">
        <v>4.9036999999999997E-2</v>
      </c>
      <c r="C176" s="7">
        <f t="shared" si="2"/>
        <v>1.0348424349291063</v>
      </c>
    </row>
    <row r="177" spans="1:3" x14ac:dyDescent="0.3">
      <c r="A177" s="6" t="s">
        <v>176</v>
      </c>
      <c r="B177" s="7">
        <v>4.9036999999999997E-2</v>
      </c>
      <c r="C177" s="7">
        <f t="shared" si="2"/>
        <v>1.0348424349291063</v>
      </c>
    </row>
    <row r="178" spans="1:3" x14ac:dyDescent="0.3">
      <c r="A178" s="6" t="s">
        <v>177</v>
      </c>
      <c r="B178" s="7">
        <v>4.9036999999999997E-2</v>
      </c>
      <c r="C178" s="7">
        <f t="shared" si="2"/>
        <v>1.0348424349291063</v>
      </c>
    </row>
    <row r="179" spans="1:3" x14ac:dyDescent="0.3">
      <c r="A179" s="6" t="s">
        <v>178</v>
      </c>
      <c r="B179" s="7">
        <v>4.9036999999999997E-2</v>
      </c>
      <c r="C179" s="7">
        <f t="shared" si="2"/>
        <v>1.0348424349291063</v>
      </c>
    </row>
    <row r="180" spans="1:3" x14ac:dyDescent="0.3">
      <c r="A180" s="6" t="s">
        <v>179</v>
      </c>
      <c r="B180" s="7">
        <v>4.9036999999999997E-2</v>
      </c>
      <c r="C180" s="7">
        <f t="shared" si="2"/>
        <v>1.0348424349291063</v>
      </c>
    </row>
    <row r="181" spans="1:3" x14ac:dyDescent="0.3">
      <c r="A181" s="6" t="s">
        <v>180</v>
      </c>
      <c r="B181" s="7">
        <v>4.9036999999999997E-2</v>
      </c>
      <c r="C181" s="7">
        <f t="shared" si="2"/>
        <v>1.0348424349291063</v>
      </c>
    </row>
    <row r="182" spans="1:3" x14ac:dyDescent="0.3">
      <c r="A182" s="6" t="s">
        <v>181</v>
      </c>
      <c r="B182" s="7">
        <v>4.9036999999999997E-2</v>
      </c>
      <c r="C182" s="7">
        <f t="shared" si="2"/>
        <v>1.0348424349291063</v>
      </c>
    </row>
    <row r="183" spans="1:3" x14ac:dyDescent="0.3">
      <c r="A183" s="6" t="s">
        <v>182</v>
      </c>
      <c r="B183" s="7">
        <v>4.9036999999999997E-2</v>
      </c>
      <c r="C183" s="7">
        <f t="shared" si="2"/>
        <v>1.0348424349291063</v>
      </c>
    </row>
    <row r="184" spans="1:3" x14ac:dyDescent="0.3">
      <c r="A184" s="6" t="s">
        <v>183</v>
      </c>
      <c r="B184" s="7">
        <v>4.9036999999999997E-2</v>
      </c>
      <c r="C184" s="7">
        <f t="shared" si="2"/>
        <v>1.0348424349291063</v>
      </c>
    </row>
    <row r="185" spans="1:3" x14ac:dyDescent="0.3">
      <c r="A185" s="6" t="s">
        <v>184</v>
      </c>
      <c r="B185" s="7">
        <v>4.9036999999999997E-2</v>
      </c>
      <c r="C185" s="7">
        <f t="shared" si="2"/>
        <v>1.0348424349291063</v>
      </c>
    </row>
    <row r="186" spans="1:3" x14ac:dyDescent="0.3">
      <c r="A186" s="6" t="s">
        <v>185</v>
      </c>
      <c r="B186" s="7">
        <v>4.9036999999999997E-2</v>
      </c>
      <c r="C186" s="7">
        <f t="shared" si="2"/>
        <v>1.0348424349291063</v>
      </c>
    </row>
    <row r="187" spans="1:3" x14ac:dyDescent="0.3">
      <c r="A187" s="6" t="s">
        <v>186</v>
      </c>
      <c r="B187" s="7">
        <v>4.9036999999999997E-2</v>
      </c>
      <c r="C187" s="7">
        <f t="shared" si="2"/>
        <v>1.0348424349291063</v>
      </c>
    </row>
    <row r="188" spans="1:3" x14ac:dyDescent="0.3">
      <c r="A188" s="6" t="s">
        <v>187</v>
      </c>
      <c r="B188" s="7">
        <v>4.9036999999999997E-2</v>
      </c>
      <c r="C188" s="7">
        <f t="shared" si="2"/>
        <v>1.0348424349291063</v>
      </c>
    </row>
    <row r="189" spans="1:3" x14ac:dyDescent="0.3">
      <c r="A189" s="6" t="s">
        <v>188</v>
      </c>
      <c r="B189" s="7">
        <v>4.7279000000000002E-2</v>
      </c>
      <c r="C189" s="7">
        <f t="shared" si="2"/>
        <v>0.99756722384840568</v>
      </c>
    </row>
    <row r="190" spans="1:3" x14ac:dyDescent="0.3">
      <c r="A190" s="6" t="s">
        <v>189</v>
      </c>
      <c r="B190" s="7">
        <v>4.7279000000000002E-2</v>
      </c>
      <c r="C190" s="7">
        <f t="shared" si="2"/>
        <v>0.99756722384840568</v>
      </c>
    </row>
    <row r="191" spans="1:3" x14ac:dyDescent="0.3">
      <c r="A191" s="6" t="s">
        <v>190</v>
      </c>
      <c r="B191" s="7">
        <v>4.7279000000000002E-2</v>
      </c>
      <c r="C191" s="7">
        <f t="shared" si="2"/>
        <v>0.99756722384840568</v>
      </c>
    </row>
    <row r="192" spans="1:3" x14ac:dyDescent="0.3">
      <c r="A192" s="6" t="s">
        <v>191</v>
      </c>
      <c r="B192" s="7">
        <v>4.7279000000000002E-2</v>
      </c>
      <c r="C192" s="7">
        <f t="shared" si="2"/>
        <v>0.99756722384840568</v>
      </c>
    </row>
    <row r="193" spans="1:3" x14ac:dyDescent="0.3">
      <c r="A193" s="6" t="s">
        <v>192</v>
      </c>
      <c r="B193" s="7">
        <v>4.7279000000000002E-2</v>
      </c>
      <c r="C193" s="7">
        <f t="shared" si="2"/>
        <v>0.99756722384840568</v>
      </c>
    </row>
    <row r="194" spans="1:3" x14ac:dyDescent="0.3">
      <c r="A194" s="6" t="s">
        <v>193</v>
      </c>
      <c r="B194" s="7">
        <v>4.7279000000000002E-2</v>
      </c>
      <c r="C194" s="7">
        <f t="shared" si="2"/>
        <v>0.99756722384840568</v>
      </c>
    </row>
    <row r="195" spans="1:3" x14ac:dyDescent="0.3">
      <c r="A195" s="6" t="s">
        <v>194</v>
      </c>
      <c r="B195" s="7">
        <v>4.7279000000000002E-2</v>
      </c>
      <c r="C195" s="7">
        <f t="shared" si="2"/>
        <v>0.99756722384840568</v>
      </c>
    </row>
    <row r="196" spans="1:3" x14ac:dyDescent="0.3">
      <c r="A196" s="6" t="s">
        <v>195</v>
      </c>
      <c r="B196" s="7">
        <v>4.7279000000000002E-2</v>
      </c>
      <c r="C196" s="7">
        <f t="shared" si="2"/>
        <v>0.99756722384840568</v>
      </c>
    </row>
    <row r="197" spans="1:3" x14ac:dyDescent="0.3">
      <c r="A197" s="6" t="s">
        <v>196</v>
      </c>
      <c r="B197" s="7">
        <v>4.7279000000000002E-2</v>
      </c>
      <c r="C197" s="7">
        <f t="shared" si="2"/>
        <v>0.99756722384840568</v>
      </c>
    </row>
    <row r="198" spans="1:3" x14ac:dyDescent="0.3">
      <c r="A198" s="6" t="s">
        <v>197</v>
      </c>
      <c r="B198" s="7">
        <v>4.7279000000000002E-2</v>
      </c>
      <c r="C198" s="7">
        <f t="shared" si="2"/>
        <v>0.99756722384840568</v>
      </c>
    </row>
    <row r="199" spans="1:3" x14ac:dyDescent="0.3">
      <c r="A199" s="6" t="s">
        <v>198</v>
      </c>
      <c r="B199" s="7">
        <v>4.7279000000000002E-2</v>
      </c>
      <c r="C199" s="7">
        <f t="shared" si="2"/>
        <v>0.99756722384840568</v>
      </c>
    </row>
    <row r="200" spans="1:3" x14ac:dyDescent="0.3">
      <c r="A200" s="6" t="s">
        <v>199</v>
      </c>
      <c r="B200" s="7">
        <v>4.7279000000000002E-2</v>
      </c>
      <c r="C200" s="7">
        <f t="shared" ref="C200:C263" si="3">((1+B200/100)^21-1)*100</f>
        <v>0.99756722384840568</v>
      </c>
    </row>
    <row r="201" spans="1:3" x14ac:dyDescent="0.3">
      <c r="A201" s="6" t="s">
        <v>200</v>
      </c>
      <c r="B201" s="7">
        <v>4.7279000000000002E-2</v>
      </c>
      <c r="C201" s="7">
        <f t="shared" si="3"/>
        <v>0.99756722384840568</v>
      </c>
    </row>
    <row r="202" spans="1:3" x14ac:dyDescent="0.3">
      <c r="A202" s="6" t="s">
        <v>201</v>
      </c>
      <c r="B202" s="7">
        <v>4.7279000000000002E-2</v>
      </c>
      <c r="C202" s="7">
        <f t="shared" si="3"/>
        <v>0.99756722384840568</v>
      </c>
    </row>
    <row r="203" spans="1:3" x14ac:dyDescent="0.3">
      <c r="A203" s="6" t="s">
        <v>202</v>
      </c>
      <c r="B203" s="7">
        <v>4.7279000000000002E-2</v>
      </c>
      <c r="C203" s="7">
        <f t="shared" si="3"/>
        <v>0.99756722384840568</v>
      </c>
    </row>
    <row r="204" spans="1:3" x14ac:dyDescent="0.3">
      <c r="A204" s="6" t="s">
        <v>203</v>
      </c>
      <c r="B204" s="7">
        <v>4.7279000000000002E-2</v>
      </c>
      <c r="C204" s="7">
        <f t="shared" si="3"/>
        <v>0.99756722384840568</v>
      </c>
    </row>
    <row r="205" spans="1:3" x14ac:dyDescent="0.3">
      <c r="A205" s="6" t="s">
        <v>204</v>
      </c>
      <c r="B205" s="7">
        <v>4.7279000000000002E-2</v>
      </c>
      <c r="C205" s="7">
        <f t="shared" si="3"/>
        <v>0.99756722384840568</v>
      </c>
    </row>
    <row r="206" spans="1:3" x14ac:dyDescent="0.3">
      <c r="A206" s="6" t="s">
        <v>205</v>
      </c>
      <c r="B206" s="7">
        <v>4.7279000000000002E-2</v>
      </c>
      <c r="C206" s="7">
        <f t="shared" si="3"/>
        <v>0.99756722384840568</v>
      </c>
    </row>
    <row r="207" spans="1:3" x14ac:dyDescent="0.3">
      <c r="A207" s="6" t="s">
        <v>206</v>
      </c>
      <c r="B207" s="7">
        <v>4.7279000000000002E-2</v>
      </c>
      <c r="C207" s="7">
        <f t="shared" si="3"/>
        <v>0.99756722384840568</v>
      </c>
    </row>
    <row r="208" spans="1:3" x14ac:dyDescent="0.3">
      <c r="A208" s="6" t="s">
        <v>207</v>
      </c>
      <c r="B208" s="7">
        <v>4.7279000000000002E-2</v>
      </c>
      <c r="C208" s="7">
        <f t="shared" si="3"/>
        <v>0.99756722384840568</v>
      </c>
    </row>
    <row r="209" spans="1:3" x14ac:dyDescent="0.3">
      <c r="A209" s="6" t="s">
        <v>208</v>
      </c>
      <c r="B209" s="7">
        <v>4.7279000000000002E-2</v>
      </c>
      <c r="C209" s="7">
        <f t="shared" si="3"/>
        <v>0.99756722384840568</v>
      </c>
    </row>
    <row r="210" spans="1:3" x14ac:dyDescent="0.3">
      <c r="A210" s="6" t="s">
        <v>209</v>
      </c>
      <c r="B210" s="7">
        <v>4.7279000000000002E-2</v>
      </c>
      <c r="C210" s="7">
        <f t="shared" si="3"/>
        <v>0.99756722384840568</v>
      </c>
    </row>
    <row r="211" spans="1:3" x14ac:dyDescent="0.3">
      <c r="A211" s="6" t="s">
        <v>210</v>
      </c>
      <c r="B211" s="7">
        <v>4.7279000000000002E-2</v>
      </c>
      <c r="C211" s="7">
        <f t="shared" si="3"/>
        <v>0.99756722384840568</v>
      </c>
    </row>
    <row r="212" spans="1:3" x14ac:dyDescent="0.3">
      <c r="A212" s="6" t="s">
        <v>211</v>
      </c>
      <c r="B212" s="7">
        <v>4.7279000000000002E-2</v>
      </c>
      <c r="C212" s="7">
        <f t="shared" si="3"/>
        <v>0.99756722384840568</v>
      </c>
    </row>
    <row r="213" spans="1:3" x14ac:dyDescent="0.3">
      <c r="A213" s="6" t="s">
        <v>212</v>
      </c>
      <c r="B213" s="7">
        <v>4.7279000000000002E-2</v>
      </c>
      <c r="C213" s="7">
        <f t="shared" si="3"/>
        <v>0.99756722384840568</v>
      </c>
    </row>
    <row r="214" spans="1:3" x14ac:dyDescent="0.3">
      <c r="A214" s="6" t="s">
        <v>213</v>
      </c>
      <c r="B214" s="7">
        <v>4.7279000000000002E-2</v>
      </c>
      <c r="C214" s="7">
        <f t="shared" si="3"/>
        <v>0.99756722384840568</v>
      </c>
    </row>
    <row r="215" spans="1:3" x14ac:dyDescent="0.3">
      <c r="A215" s="6" t="s">
        <v>214</v>
      </c>
      <c r="B215" s="7">
        <v>4.7279000000000002E-2</v>
      </c>
      <c r="C215" s="7">
        <f t="shared" si="3"/>
        <v>0.99756722384840568</v>
      </c>
    </row>
    <row r="216" spans="1:3" x14ac:dyDescent="0.3">
      <c r="A216" s="6" t="s">
        <v>215</v>
      </c>
      <c r="B216" s="7">
        <v>4.7279000000000002E-2</v>
      </c>
      <c r="C216" s="7">
        <f t="shared" si="3"/>
        <v>0.99756722384840568</v>
      </c>
    </row>
    <row r="217" spans="1:3" x14ac:dyDescent="0.3">
      <c r="A217" s="6" t="s">
        <v>216</v>
      </c>
      <c r="B217" s="7">
        <v>4.7279000000000002E-2</v>
      </c>
      <c r="C217" s="7">
        <f t="shared" si="3"/>
        <v>0.99756722384840568</v>
      </c>
    </row>
    <row r="218" spans="1:3" x14ac:dyDescent="0.3">
      <c r="A218" s="6" t="s">
        <v>217</v>
      </c>
      <c r="B218" s="7">
        <v>4.5512999999999998E-2</v>
      </c>
      <c r="C218" s="7">
        <f t="shared" si="3"/>
        <v>0.9601355742345774</v>
      </c>
    </row>
    <row r="219" spans="1:3" x14ac:dyDescent="0.3">
      <c r="A219" s="6" t="s">
        <v>218</v>
      </c>
      <c r="B219" s="7">
        <v>4.5512999999999998E-2</v>
      </c>
      <c r="C219" s="7">
        <f t="shared" si="3"/>
        <v>0.9601355742345774</v>
      </c>
    </row>
    <row r="220" spans="1:3" x14ac:dyDescent="0.3">
      <c r="A220" s="6" t="s">
        <v>219</v>
      </c>
      <c r="B220" s="7">
        <v>4.5512999999999998E-2</v>
      </c>
      <c r="C220" s="7">
        <f t="shared" si="3"/>
        <v>0.9601355742345774</v>
      </c>
    </row>
    <row r="221" spans="1:3" x14ac:dyDescent="0.3">
      <c r="A221" s="6" t="s">
        <v>220</v>
      </c>
      <c r="B221" s="7">
        <v>4.5512999999999998E-2</v>
      </c>
      <c r="C221" s="7">
        <f t="shared" si="3"/>
        <v>0.9601355742345774</v>
      </c>
    </row>
    <row r="222" spans="1:3" x14ac:dyDescent="0.3">
      <c r="A222" s="6" t="s">
        <v>221</v>
      </c>
      <c r="B222" s="7">
        <v>4.5512999999999998E-2</v>
      </c>
      <c r="C222" s="7">
        <f t="shared" si="3"/>
        <v>0.9601355742345774</v>
      </c>
    </row>
    <row r="223" spans="1:3" x14ac:dyDescent="0.3">
      <c r="A223" s="6" t="s">
        <v>222</v>
      </c>
      <c r="B223" s="7">
        <v>4.5512999999999998E-2</v>
      </c>
      <c r="C223" s="7">
        <f t="shared" si="3"/>
        <v>0.9601355742345774</v>
      </c>
    </row>
    <row r="224" spans="1:3" x14ac:dyDescent="0.3">
      <c r="A224" s="6" t="s">
        <v>223</v>
      </c>
      <c r="B224" s="7">
        <v>4.5512999999999998E-2</v>
      </c>
      <c r="C224" s="7">
        <f t="shared" si="3"/>
        <v>0.9601355742345774</v>
      </c>
    </row>
    <row r="225" spans="1:3" x14ac:dyDescent="0.3">
      <c r="A225" s="6" t="s">
        <v>224</v>
      </c>
      <c r="B225" s="7">
        <v>4.5512999999999998E-2</v>
      </c>
      <c r="C225" s="7">
        <f t="shared" si="3"/>
        <v>0.9601355742345774</v>
      </c>
    </row>
    <row r="226" spans="1:3" x14ac:dyDescent="0.3">
      <c r="A226" s="6" t="s">
        <v>225</v>
      </c>
      <c r="B226" s="7">
        <v>4.5512999999999998E-2</v>
      </c>
      <c r="C226" s="7">
        <f t="shared" si="3"/>
        <v>0.9601355742345774</v>
      </c>
    </row>
    <row r="227" spans="1:3" x14ac:dyDescent="0.3">
      <c r="A227" s="6" t="s">
        <v>226</v>
      </c>
      <c r="B227" s="7">
        <v>4.5512999999999998E-2</v>
      </c>
      <c r="C227" s="7">
        <f t="shared" si="3"/>
        <v>0.9601355742345774</v>
      </c>
    </row>
    <row r="228" spans="1:3" x14ac:dyDescent="0.3">
      <c r="A228" s="6" t="s">
        <v>227</v>
      </c>
      <c r="B228" s="7">
        <v>4.5512999999999998E-2</v>
      </c>
      <c r="C228" s="7">
        <f t="shared" si="3"/>
        <v>0.9601355742345774</v>
      </c>
    </row>
    <row r="229" spans="1:3" x14ac:dyDescent="0.3">
      <c r="A229" s="6" t="s">
        <v>228</v>
      </c>
      <c r="B229" s="7">
        <v>4.5512999999999998E-2</v>
      </c>
      <c r="C229" s="7">
        <f t="shared" si="3"/>
        <v>0.9601355742345774</v>
      </c>
    </row>
    <row r="230" spans="1:3" x14ac:dyDescent="0.3">
      <c r="A230" s="6" t="s">
        <v>229</v>
      </c>
      <c r="B230" s="7">
        <v>4.5512999999999998E-2</v>
      </c>
      <c r="C230" s="7">
        <f t="shared" si="3"/>
        <v>0.9601355742345774</v>
      </c>
    </row>
    <row r="231" spans="1:3" x14ac:dyDescent="0.3">
      <c r="A231" s="6" t="s">
        <v>230</v>
      </c>
      <c r="B231" s="7">
        <v>4.5512999999999998E-2</v>
      </c>
      <c r="C231" s="7">
        <f t="shared" si="3"/>
        <v>0.9601355742345774</v>
      </c>
    </row>
    <row r="232" spans="1:3" x14ac:dyDescent="0.3">
      <c r="A232" s="6" t="s">
        <v>231</v>
      </c>
      <c r="B232" s="7">
        <v>4.5512999999999998E-2</v>
      </c>
      <c r="C232" s="7">
        <f t="shared" si="3"/>
        <v>0.9601355742345774</v>
      </c>
    </row>
    <row r="233" spans="1:3" x14ac:dyDescent="0.3">
      <c r="A233" s="6" t="s">
        <v>232</v>
      </c>
      <c r="B233" s="7">
        <v>4.5512999999999998E-2</v>
      </c>
      <c r="C233" s="7">
        <f t="shared" si="3"/>
        <v>0.9601355742345774</v>
      </c>
    </row>
    <row r="234" spans="1:3" x14ac:dyDescent="0.3">
      <c r="A234" s="6" t="s">
        <v>233</v>
      </c>
      <c r="B234" s="7">
        <v>4.5512999999999998E-2</v>
      </c>
      <c r="C234" s="7">
        <f t="shared" si="3"/>
        <v>0.9601355742345774</v>
      </c>
    </row>
    <row r="235" spans="1:3" x14ac:dyDescent="0.3">
      <c r="A235" s="6" t="s">
        <v>234</v>
      </c>
      <c r="B235" s="7">
        <v>4.5512999999999998E-2</v>
      </c>
      <c r="C235" s="7">
        <f t="shared" si="3"/>
        <v>0.9601355742345774</v>
      </c>
    </row>
    <row r="236" spans="1:3" x14ac:dyDescent="0.3">
      <c r="A236" s="6" t="s">
        <v>235</v>
      </c>
      <c r="B236" s="7">
        <v>4.5512999999999998E-2</v>
      </c>
      <c r="C236" s="7">
        <f t="shared" si="3"/>
        <v>0.9601355742345774</v>
      </c>
    </row>
    <row r="237" spans="1:3" x14ac:dyDescent="0.3">
      <c r="A237" s="6" t="s">
        <v>236</v>
      </c>
      <c r="B237" s="7">
        <v>4.5512999999999998E-2</v>
      </c>
      <c r="C237" s="7">
        <f t="shared" si="3"/>
        <v>0.9601355742345774</v>
      </c>
    </row>
    <row r="238" spans="1:3" x14ac:dyDescent="0.3">
      <c r="A238" s="6" t="s">
        <v>237</v>
      </c>
      <c r="B238" s="7">
        <v>4.5512999999999998E-2</v>
      </c>
      <c r="C238" s="7">
        <f t="shared" si="3"/>
        <v>0.9601355742345774</v>
      </c>
    </row>
    <row r="239" spans="1:3" x14ac:dyDescent="0.3">
      <c r="A239" s="6" t="s">
        <v>238</v>
      </c>
      <c r="B239" s="7">
        <v>4.5512999999999998E-2</v>
      </c>
      <c r="C239" s="7">
        <f t="shared" si="3"/>
        <v>0.9601355742345774</v>
      </c>
    </row>
    <row r="240" spans="1:3" x14ac:dyDescent="0.3">
      <c r="A240" s="6" t="s">
        <v>239</v>
      </c>
      <c r="B240" s="7">
        <v>4.5512999999999998E-2</v>
      </c>
      <c r="C240" s="7">
        <f t="shared" si="3"/>
        <v>0.9601355742345774</v>
      </c>
    </row>
    <row r="241" spans="1:3" x14ac:dyDescent="0.3">
      <c r="A241" s="6" t="s">
        <v>240</v>
      </c>
      <c r="B241" s="7">
        <v>4.5512999999999998E-2</v>
      </c>
      <c r="C241" s="7">
        <f t="shared" si="3"/>
        <v>0.9601355742345774</v>
      </c>
    </row>
    <row r="242" spans="1:3" x14ac:dyDescent="0.3">
      <c r="A242" s="6" t="s">
        <v>241</v>
      </c>
      <c r="B242" s="7">
        <v>4.5512999999999998E-2</v>
      </c>
      <c r="C242" s="7">
        <f t="shared" si="3"/>
        <v>0.9601355742345774</v>
      </c>
    </row>
    <row r="243" spans="1:3" x14ac:dyDescent="0.3">
      <c r="A243" s="6" t="s">
        <v>242</v>
      </c>
      <c r="B243" s="7">
        <v>4.5512999999999998E-2</v>
      </c>
      <c r="C243" s="7">
        <f t="shared" si="3"/>
        <v>0.9601355742345774</v>
      </c>
    </row>
    <row r="244" spans="1:3" x14ac:dyDescent="0.3">
      <c r="A244" s="6" t="s">
        <v>243</v>
      </c>
      <c r="B244" s="7">
        <v>4.5512999999999998E-2</v>
      </c>
      <c r="C244" s="7">
        <f t="shared" si="3"/>
        <v>0.9601355742345774</v>
      </c>
    </row>
    <row r="245" spans="1:3" x14ac:dyDescent="0.3">
      <c r="A245" s="6" t="s">
        <v>244</v>
      </c>
      <c r="B245" s="7">
        <v>4.5512999999999998E-2</v>
      </c>
      <c r="C245" s="7">
        <f t="shared" si="3"/>
        <v>0.9601355742345774</v>
      </c>
    </row>
    <row r="246" spans="1:3" x14ac:dyDescent="0.3">
      <c r="A246" s="6" t="s">
        <v>245</v>
      </c>
      <c r="B246" s="7">
        <v>4.3739E-2</v>
      </c>
      <c r="C246" s="7">
        <f t="shared" si="3"/>
        <v>0.92254766124413301</v>
      </c>
    </row>
    <row r="247" spans="1:3" x14ac:dyDescent="0.3">
      <c r="A247" s="6" t="s">
        <v>246</v>
      </c>
      <c r="B247" s="7">
        <v>4.3739E-2</v>
      </c>
      <c r="C247" s="7">
        <f t="shared" si="3"/>
        <v>0.92254766124413301</v>
      </c>
    </row>
    <row r="248" spans="1:3" x14ac:dyDescent="0.3">
      <c r="A248" s="6" t="s">
        <v>247</v>
      </c>
      <c r="B248" s="7">
        <v>4.3739E-2</v>
      </c>
      <c r="C248" s="7">
        <f t="shared" si="3"/>
        <v>0.92254766124413301</v>
      </c>
    </row>
    <row r="249" spans="1:3" x14ac:dyDescent="0.3">
      <c r="A249" s="6" t="s">
        <v>248</v>
      </c>
      <c r="B249" s="7">
        <v>4.3739E-2</v>
      </c>
      <c r="C249" s="7">
        <f t="shared" si="3"/>
        <v>0.92254766124413301</v>
      </c>
    </row>
    <row r="250" spans="1:3" x14ac:dyDescent="0.3">
      <c r="A250" s="6" t="s">
        <v>249</v>
      </c>
      <c r="B250" s="7">
        <v>4.3739E-2</v>
      </c>
      <c r="C250" s="7">
        <f t="shared" si="3"/>
        <v>0.92254766124413301</v>
      </c>
    </row>
    <row r="251" spans="1:3" x14ac:dyDescent="0.3">
      <c r="A251" s="6" t="s">
        <v>250</v>
      </c>
      <c r="B251" s="7">
        <v>4.3739E-2</v>
      </c>
      <c r="C251" s="7">
        <f t="shared" si="3"/>
        <v>0.92254766124413301</v>
      </c>
    </row>
    <row r="252" spans="1:3" x14ac:dyDescent="0.3">
      <c r="A252" s="6" t="s">
        <v>251</v>
      </c>
      <c r="B252" s="7">
        <v>4.3739E-2</v>
      </c>
      <c r="C252" s="7">
        <f t="shared" si="3"/>
        <v>0.92254766124413301</v>
      </c>
    </row>
    <row r="253" spans="1:3" x14ac:dyDescent="0.3">
      <c r="A253" s="6" t="s">
        <v>252</v>
      </c>
      <c r="B253" s="7">
        <v>4.3739E-2</v>
      </c>
      <c r="C253" s="7">
        <f t="shared" si="3"/>
        <v>0.92254766124413301</v>
      </c>
    </row>
    <row r="254" spans="1:3" x14ac:dyDescent="0.3">
      <c r="A254" s="6" t="s">
        <v>253</v>
      </c>
      <c r="B254" s="7">
        <v>4.3739E-2</v>
      </c>
      <c r="C254" s="7">
        <f t="shared" si="3"/>
        <v>0.92254766124413301</v>
      </c>
    </row>
    <row r="255" spans="1:3" x14ac:dyDescent="0.3">
      <c r="A255" s="6" t="s">
        <v>254</v>
      </c>
      <c r="B255" s="7">
        <v>4.3739E-2</v>
      </c>
      <c r="C255" s="7">
        <f t="shared" si="3"/>
        <v>0.92254766124413301</v>
      </c>
    </row>
    <row r="256" spans="1:3" x14ac:dyDescent="0.3">
      <c r="A256" s="6" t="s">
        <v>255</v>
      </c>
      <c r="B256" s="7">
        <v>4.3739E-2</v>
      </c>
      <c r="C256" s="7">
        <f t="shared" si="3"/>
        <v>0.92254766124413301</v>
      </c>
    </row>
    <row r="257" spans="1:3" x14ac:dyDescent="0.3">
      <c r="A257" s="6" t="s">
        <v>256</v>
      </c>
      <c r="B257" s="7">
        <v>4.3739E-2</v>
      </c>
      <c r="C257" s="7">
        <f t="shared" si="3"/>
        <v>0.92254766124413301</v>
      </c>
    </row>
    <row r="258" spans="1:3" x14ac:dyDescent="0.3">
      <c r="A258" s="6" t="s">
        <v>257</v>
      </c>
      <c r="B258" s="7">
        <v>4.3739E-2</v>
      </c>
      <c r="C258" s="7">
        <f t="shared" si="3"/>
        <v>0.92254766124413301</v>
      </c>
    </row>
    <row r="259" spans="1:3" x14ac:dyDescent="0.3">
      <c r="A259" s="6" t="s">
        <v>258</v>
      </c>
      <c r="B259" s="7">
        <v>4.3739E-2</v>
      </c>
      <c r="C259" s="7">
        <f t="shared" si="3"/>
        <v>0.92254766124413301</v>
      </c>
    </row>
    <row r="260" spans="1:3" x14ac:dyDescent="0.3">
      <c r="A260" s="6" t="s">
        <v>259</v>
      </c>
      <c r="B260" s="7">
        <v>4.3739E-2</v>
      </c>
      <c r="C260" s="7">
        <f t="shared" si="3"/>
        <v>0.92254766124413301</v>
      </c>
    </row>
    <row r="261" spans="1:3" x14ac:dyDescent="0.3">
      <c r="A261" s="6" t="s">
        <v>260</v>
      </c>
      <c r="B261" s="7">
        <v>4.3739E-2</v>
      </c>
      <c r="C261" s="7">
        <f t="shared" si="3"/>
        <v>0.92254766124413301</v>
      </c>
    </row>
    <row r="262" spans="1:3" x14ac:dyDescent="0.3">
      <c r="A262" s="6" t="s">
        <v>261</v>
      </c>
      <c r="B262" s="7">
        <v>4.3739E-2</v>
      </c>
      <c r="C262" s="7">
        <f t="shared" si="3"/>
        <v>0.92254766124413301</v>
      </c>
    </row>
    <row r="263" spans="1:3" x14ac:dyDescent="0.3">
      <c r="A263" s="6" t="s">
        <v>262</v>
      </c>
      <c r="B263" s="7">
        <v>4.3739E-2</v>
      </c>
      <c r="C263" s="7">
        <f t="shared" si="3"/>
        <v>0.92254766124413301</v>
      </c>
    </row>
    <row r="264" spans="1:3" x14ac:dyDescent="0.3">
      <c r="A264" s="6" t="s">
        <v>263</v>
      </c>
      <c r="B264" s="7">
        <v>4.3739E-2</v>
      </c>
      <c r="C264" s="7">
        <f t="shared" ref="C264:C327" si="4">((1+B264/100)^21-1)*100</f>
        <v>0.92254766124413301</v>
      </c>
    </row>
    <row r="265" spans="1:3" x14ac:dyDescent="0.3">
      <c r="A265" s="6" t="s">
        <v>264</v>
      </c>
      <c r="B265" s="7">
        <v>4.3739E-2</v>
      </c>
      <c r="C265" s="7">
        <f t="shared" si="4"/>
        <v>0.92254766124413301</v>
      </c>
    </row>
    <row r="266" spans="1:3" x14ac:dyDescent="0.3">
      <c r="A266" s="6" t="s">
        <v>265</v>
      </c>
      <c r="B266" s="7">
        <v>4.3739E-2</v>
      </c>
      <c r="C266" s="7">
        <f t="shared" si="4"/>
        <v>0.92254766124413301</v>
      </c>
    </row>
    <row r="267" spans="1:3" x14ac:dyDescent="0.3">
      <c r="A267" s="6" t="s">
        <v>266</v>
      </c>
      <c r="B267" s="7">
        <v>4.3739E-2</v>
      </c>
      <c r="C267" s="7">
        <f t="shared" si="4"/>
        <v>0.92254766124413301</v>
      </c>
    </row>
    <row r="268" spans="1:3" x14ac:dyDescent="0.3">
      <c r="A268" s="6" t="s">
        <v>267</v>
      </c>
      <c r="B268" s="7">
        <v>4.3739E-2</v>
      </c>
      <c r="C268" s="7">
        <f t="shared" si="4"/>
        <v>0.92254766124413301</v>
      </c>
    </row>
    <row r="269" spans="1:3" x14ac:dyDescent="0.3">
      <c r="A269" s="6" t="s">
        <v>268</v>
      </c>
      <c r="B269" s="7">
        <v>4.3739E-2</v>
      </c>
      <c r="C269" s="7">
        <f t="shared" si="4"/>
        <v>0.92254766124413301</v>
      </c>
    </row>
    <row r="270" spans="1:3" x14ac:dyDescent="0.3">
      <c r="A270" s="6" t="s">
        <v>269</v>
      </c>
      <c r="B270" s="7">
        <v>4.3739E-2</v>
      </c>
      <c r="C270" s="7">
        <f t="shared" si="4"/>
        <v>0.92254766124413301</v>
      </c>
    </row>
    <row r="271" spans="1:3" x14ac:dyDescent="0.3">
      <c r="A271" s="6" t="s">
        <v>270</v>
      </c>
      <c r="B271" s="7">
        <v>4.3739E-2</v>
      </c>
      <c r="C271" s="7">
        <f t="shared" si="4"/>
        <v>0.92254766124413301</v>
      </c>
    </row>
    <row r="272" spans="1:3" x14ac:dyDescent="0.3">
      <c r="A272" s="6" t="s">
        <v>271</v>
      </c>
      <c r="B272" s="7">
        <v>4.3739E-2</v>
      </c>
      <c r="C272" s="7">
        <f t="shared" si="4"/>
        <v>0.92254766124413301</v>
      </c>
    </row>
    <row r="273" spans="1:3" x14ac:dyDescent="0.3">
      <c r="A273" s="6" t="s">
        <v>272</v>
      </c>
      <c r="B273" s="7">
        <v>4.3739E-2</v>
      </c>
      <c r="C273" s="7">
        <f t="shared" si="4"/>
        <v>0.92254766124413301</v>
      </c>
    </row>
    <row r="274" spans="1:3" x14ac:dyDescent="0.3">
      <c r="A274" s="6" t="s">
        <v>273</v>
      </c>
      <c r="B274" s="7">
        <v>4.3739E-2</v>
      </c>
      <c r="C274" s="7">
        <f t="shared" si="4"/>
        <v>0.92254766124413301</v>
      </c>
    </row>
    <row r="275" spans="1:3" x14ac:dyDescent="0.3">
      <c r="A275" s="6" t="s">
        <v>274</v>
      </c>
      <c r="B275" s="7">
        <v>4.3739E-2</v>
      </c>
      <c r="C275" s="7">
        <f t="shared" si="4"/>
        <v>0.92254766124413301</v>
      </c>
    </row>
    <row r="276" spans="1:3" x14ac:dyDescent="0.3">
      <c r="A276" s="6" t="s">
        <v>275</v>
      </c>
      <c r="B276" s="7">
        <v>4.3739E-2</v>
      </c>
      <c r="C276" s="7">
        <f t="shared" si="4"/>
        <v>0.92254766124413301</v>
      </c>
    </row>
    <row r="277" spans="1:3" x14ac:dyDescent="0.3">
      <c r="A277" s="6" t="s">
        <v>276</v>
      </c>
      <c r="B277" s="7">
        <v>4.3739E-2</v>
      </c>
      <c r="C277" s="7">
        <f t="shared" si="4"/>
        <v>0.92254766124413301</v>
      </c>
    </row>
    <row r="278" spans="1:3" x14ac:dyDescent="0.3">
      <c r="A278" s="6" t="s">
        <v>277</v>
      </c>
      <c r="B278" s="7">
        <v>4.3739E-2</v>
      </c>
      <c r="C278" s="7">
        <f t="shared" si="4"/>
        <v>0.92254766124413301</v>
      </c>
    </row>
    <row r="279" spans="1:3" x14ac:dyDescent="0.3">
      <c r="A279" s="6" t="s">
        <v>278</v>
      </c>
      <c r="B279" s="7">
        <v>4.1957000000000001E-2</v>
      </c>
      <c r="C279" s="7">
        <f t="shared" si="4"/>
        <v>0.88480366072685168</v>
      </c>
    </row>
    <row r="280" spans="1:3" x14ac:dyDescent="0.3">
      <c r="A280" s="6" t="s">
        <v>279</v>
      </c>
      <c r="B280" s="7">
        <v>4.1957000000000001E-2</v>
      </c>
      <c r="C280" s="7">
        <f t="shared" si="4"/>
        <v>0.88480366072685168</v>
      </c>
    </row>
    <row r="281" spans="1:3" x14ac:dyDescent="0.3">
      <c r="A281" s="6" t="s">
        <v>280</v>
      </c>
      <c r="B281" s="7">
        <v>4.1957000000000001E-2</v>
      </c>
      <c r="C281" s="7">
        <f t="shared" si="4"/>
        <v>0.88480366072685168</v>
      </c>
    </row>
    <row r="282" spans="1:3" x14ac:dyDescent="0.3">
      <c r="A282" s="6" t="s">
        <v>281</v>
      </c>
      <c r="B282" s="7">
        <v>4.1957000000000001E-2</v>
      </c>
      <c r="C282" s="7">
        <f t="shared" si="4"/>
        <v>0.88480366072685168</v>
      </c>
    </row>
    <row r="283" spans="1:3" x14ac:dyDescent="0.3">
      <c r="A283" s="6" t="s">
        <v>282</v>
      </c>
      <c r="B283" s="7">
        <v>4.1957000000000001E-2</v>
      </c>
      <c r="C283" s="7">
        <f t="shared" si="4"/>
        <v>0.88480366072685168</v>
      </c>
    </row>
    <row r="284" spans="1:3" x14ac:dyDescent="0.3">
      <c r="A284" s="6" t="s">
        <v>283</v>
      </c>
      <c r="B284" s="7">
        <v>4.1957000000000001E-2</v>
      </c>
      <c r="C284" s="7">
        <f t="shared" si="4"/>
        <v>0.88480366072685168</v>
      </c>
    </row>
    <row r="285" spans="1:3" x14ac:dyDescent="0.3">
      <c r="A285" s="6" t="s">
        <v>284</v>
      </c>
      <c r="B285" s="7">
        <v>4.1957000000000001E-2</v>
      </c>
      <c r="C285" s="7">
        <f t="shared" si="4"/>
        <v>0.88480366072685168</v>
      </c>
    </row>
    <row r="286" spans="1:3" x14ac:dyDescent="0.3">
      <c r="A286" s="6" t="s">
        <v>285</v>
      </c>
      <c r="B286" s="7">
        <v>4.1957000000000001E-2</v>
      </c>
      <c r="C286" s="7">
        <f t="shared" si="4"/>
        <v>0.88480366072685168</v>
      </c>
    </row>
    <row r="287" spans="1:3" x14ac:dyDescent="0.3">
      <c r="A287" s="6" t="s">
        <v>286</v>
      </c>
      <c r="B287" s="7">
        <v>4.1957000000000001E-2</v>
      </c>
      <c r="C287" s="7">
        <f t="shared" si="4"/>
        <v>0.88480366072685168</v>
      </c>
    </row>
    <row r="288" spans="1:3" x14ac:dyDescent="0.3">
      <c r="A288" s="6" t="s">
        <v>287</v>
      </c>
      <c r="B288" s="7">
        <v>4.1957000000000001E-2</v>
      </c>
      <c r="C288" s="7">
        <f t="shared" si="4"/>
        <v>0.88480366072685168</v>
      </c>
    </row>
    <row r="289" spans="1:3" x14ac:dyDescent="0.3">
      <c r="A289" s="6" t="s">
        <v>288</v>
      </c>
      <c r="B289" s="7">
        <v>4.1957000000000001E-2</v>
      </c>
      <c r="C289" s="7">
        <f t="shared" si="4"/>
        <v>0.88480366072685168</v>
      </c>
    </row>
    <row r="290" spans="1:3" x14ac:dyDescent="0.3">
      <c r="A290" s="6" t="s">
        <v>289</v>
      </c>
      <c r="B290" s="7">
        <v>4.1957000000000001E-2</v>
      </c>
      <c r="C290" s="7">
        <f t="shared" si="4"/>
        <v>0.88480366072685168</v>
      </c>
    </row>
    <row r="291" spans="1:3" x14ac:dyDescent="0.3">
      <c r="A291" s="6" t="s">
        <v>290</v>
      </c>
      <c r="B291" s="7">
        <v>4.1957000000000001E-2</v>
      </c>
      <c r="C291" s="7">
        <f t="shared" si="4"/>
        <v>0.88480366072685168</v>
      </c>
    </row>
    <row r="292" spans="1:3" x14ac:dyDescent="0.3">
      <c r="A292" s="6" t="s">
        <v>291</v>
      </c>
      <c r="B292" s="7">
        <v>4.1957000000000001E-2</v>
      </c>
      <c r="C292" s="7">
        <f t="shared" si="4"/>
        <v>0.88480366072685168</v>
      </c>
    </row>
    <row r="293" spans="1:3" x14ac:dyDescent="0.3">
      <c r="A293" s="6" t="s">
        <v>292</v>
      </c>
      <c r="B293" s="7">
        <v>4.1957000000000001E-2</v>
      </c>
      <c r="C293" s="7">
        <f t="shared" si="4"/>
        <v>0.88480366072685168</v>
      </c>
    </row>
    <row r="294" spans="1:3" x14ac:dyDescent="0.3">
      <c r="A294" s="6" t="s">
        <v>293</v>
      </c>
      <c r="B294" s="7">
        <v>4.1957000000000001E-2</v>
      </c>
      <c r="C294" s="7">
        <f t="shared" si="4"/>
        <v>0.88480366072685168</v>
      </c>
    </row>
    <row r="295" spans="1:3" x14ac:dyDescent="0.3">
      <c r="A295" s="6" t="s">
        <v>294</v>
      </c>
      <c r="B295" s="7">
        <v>4.1957000000000001E-2</v>
      </c>
      <c r="C295" s="7">
        <f t="shared" si="4"/>
        <v>0.88480366072685168</v>
      </c>
    </row>
    <row r="296" spans="1:3" x14ac:dyDescent="0.3">
      <c r="A296" s="6" t="s">
        <v>295</v>
      </c>
      <c r="B296" s="7">
        <v>4.1957000000000001E-2</v>
      </c>
      <c r="C296" s="7">
        <f t="shared" si="4"/>
        <v>0.88480366072685168</v>
      </c>
    </row>
    <row r="297" spans="1:3" x14ac:dyDescent="0.3">
      <c r="A297" s="6" t="s">
        <v>296</v>
      </c>
      <c r="B297" s="7">
        <v>4.1957000000000001E-2</v>
      </c>
      <c r="C297" s="7">
        <f t="shared" si="4"/>
        <v>0.88480366072685168</v>
      </c>
    </row>
    <row r="298" spans="1:3" x14ac:dyDescent="0.3">
      <c r="A298" s="6" t="s">
        <v>297</v>
      </c>
      <c r="B298" s="7">
        <v>4.1957000000000001E-2</v>
      </c>
      <c r="C298" s="7">
        <f t="shared" si="4"/>
        <v>0.88480366072685168</v>
      </c>
    </row>
    <row r="299" spans="1:3" x14ac:dyDescent="0.3">
      <c r="A299" s="6" t="s">
        <v>298</v>
      </c>
      <c r="B299" s="7">
        <v>4.1957000000000001E-2</v>
      </c>
      <c r="C299" s="7">
        <f t="shared" si="4"/>
        <v>0.88480366072685168</v>
      </c>
    </row>
    <row r="300" spans="1:3" x14ac:dyDescent="0.3">
      <c r="A300" s="6" t="s">
        <v>299</v>
      </c>
      <c r="B300" s="7">
        <v>4.1957000000000001E-2</v>
      </c>
      <c r="C300" s="7">
        <f t="shared" si="4"/>
        <v>0.88480366072685168</v>
      </c>
    </row>
    <row r="301" spans="1:3" x14ac:dyDescent="0.3">
      <c r="A301" s="6" t="s">
        <v>300</v>
      </c>
      <c r="B301" s="7">
        <v>4.1957000000000001E-2</v>
      </c>
      <c r="C301" s="7">
        <f t="shared" si="4"/>
        <v>0.88480366072685168</v>
      </c>
    </row>
    <row r="302" spans="1:3" x14ac:dyDescent="0.3">
      <c r="A302" s="6" t="s">
        <v>301</v>
      </c>
      <c r="B302" s="7">
        <v>4.1957000000000001E-2</v>
      </c>
      <c r="C302" s="7">
        <f t="shared" si="4"/>
        <v>0.88480366072685168</v>
      </c>
    </row>
    <row r="303" spans="1:3" x14ac:dyDescent="0.3">
      <c r="A303" s="6" t="s">
        <v>302</v>
      </c>
      <c r="B303" s="7">
        <v>4.1957000000000001E-2</v>
      </c>
      <c r="C303" s="7">
        <f t="shared" si="4"/>
        <v>0.88480366072685168</v>
      </c>
    </row>
    <row r="304" spans="1:3" x14ac:dyDescent="0.3">
      <c r="A304" s="6" t="s">
        <v>303</v>
      </c>
      <c r="B304" s="7">
        <v>4.1957000000000001E-2</v>
      </c>
      <c r="C304" s="7">
        <f t="shared" si="4"/>
        <v>0.88480366072685168</v>
      </c>
    </row>
    <row r="305" spans="1:3" x14ac:dyDescent="0.3">
      <c r="A305" s="6" t="s">
        <v>304</v>
      </c>
      <c r="B305" s="7">
        <v>4.1957000000000001E-2</v>
      </c>
      <c r="C305" s="7">
        <f t="shared" si="4"/>
        <v>0.88480366072685168</v>
      </c>
    </row>
    <row r="306" spans="1:3" x14ac:dyDescent="0.3">
      <c r="A306" s="6" t="s">
        <v>305</v>
      </c>
      <c r="B306" s="7">
        <v>4.1957000000000001E-2</v>
      </c>
      <c r="C306" s="7">
        <f t="shared" si="4"/>
        <v>0.88480366072685168</v>
      </c>
    </row>
    <row r="307" spans="1:3" x14ac:dyDescent="0.3">
      <c r="A307" s="6" t="s">
        <v>306</v>
      </c>
      <c r="B307" s="7">
        <v>4.1957000000000001E-2</v>
      </c>
      <c r="C307" s="7">
        <f t="shared" si="4"/>
        <v>0.88480366072685168</v>
      </c>
    </row>
    <row r="308" spans="1:3" x14ac:dyDescent="0.3">
      <c r="A308" s="6" t="s">
        <v>307</v>
      </c>
      <c r="B308" s="7">
        <v>4.1957000000000001E-2</v>
      </c>
      <c r="C308" s="7">
        <f t="shared" si="4"/>
        <v>0.88480366072685168</v>
      </c>
    </row>
    <row r="309" spans="1:3" x14ac:dyDescent="0.3">
      <c r="A309" s="6" t="s">
        <v>308</v>
      </c>
      <c r="B309" s="7">
        <v>4.1957000000000001E-2</v>
      </c>
      <c r="C309" s="7">
        <f t="shared" si="4"/>
        <v>0.88480366072685168</v>
      </c>
    </row>
    <row r="310" spans="1:3" x14ac:dyDescent="0.3">
      <c r="A310" s="6" t="s">
        <v>309</v>
      </c>
      <c r="B310" s="7">
        <v>4.1957000000000001E-2</v>
      </c>
      <c r="C310" s="7">
        <f t="shared" si="4"/>
        <v>0.88480366072685168</v>
      </c>
    </row>
    <row r="311" spans="1:3" x14ac:dyDescent="0.3">
      <c r="A311" s="6" t="s">
        <v>310</v>
      </c>
      <c r="B311" s="7">
        <v>4.1957000000000001E-2</v>
      </c>
      <c r="C311" s="7">
        <f t="shared" si="4"/>
        <v>0.88480366072685168</v>
      </c>
    </row>
    <row r="312" spans="1:3" x14ac:dyDescent="0.3">
      <c r="A312" s="6" t="s">
        <v>311</v>
      </c>
      <c r="B312" s="7">
        <v>4.0168000000000002E-2</v>
      </c>
      <c r="C312" s="7">
        <f t="shared" si="4"/>
        <v>0.84692491857454311</v>
      </c>
    </row>
    <row r="313" spans="1:3" x14ac:dyDescent="0.3">
      <c r="A313" s="6" t="s">
        <v>312</v>
      </c>
      <c r="B313" s="7">
        <v>4.0168000000000002E-2</v>
      </c>
      <c r="C313" s="7">
        <f t="shared" si="4"/>
        <v>0.84692491857454311</v>
      </c>
    </row>
    <row r="314" spans="1:3" x14ac:dyDescent="0.3">
      <c r="A314" s="6" t="s">
        <v>313</v>
      </c>
      <c r="B314" s="7">
        <v>4.0168000000000002E-2</v>
      </c>
      <c r="C314" s="7">
        <f t="shared" si="4"/>
        <v>0.84692491857454311</v>
      </c>
    </row>
    <row r="315" spans="1:3" x14ac:dyDescent="0.3">
      <c r="A315" s="6" t="s">
        <v>314</v>
      </c>
      <c r="B315" s="7">
        <v>4.0168000000000002E-2</v>
      </c>
      <c r="C315" s="7">
        <f t="shared" si="4"/>
        <v>0.84692491857454311</v>
      </c>
    </row>
    <row r="316" spans="1:3" x14ac:dyDescent="0.3">
      <c r="A316" s="6" t="s">
        <v>315</v>
      </c>
      <c r="B316" s="7">
        <v>4.0168000000000002E-2</v>
      </c>
      <c r="C316" s="7">
        <f t="shared" si="4"/>
        <v>0.84692491857454311</v>
      </c>
    </row>
    <row r="317" spans="1:3" x14ac:dyDescent="0.3">
      <c r="A317" s="6" t="s">
        <v>316</v>
      </c>
      <c r="B317" s="7">
        <v>4.0168000000000002E-2</v>
      </c>
      <c r="C317" s="7">
        <f t="shared" si="4"/>
        <v>0.84692491857454311</v>
      </c>
    </row>
    <row r="318" spans="1:3" x14ac:dyDescent="0.3">
      <c r="A318" s="6" t="s">
        <v>317</v>
      </c>
      <c r="B318" s="7">
        <v>4.0168000000000002E-2</v>
      </c>
      <c r="C318" s="7">
        <f t="shared" si="4"/>
        <v>0.84692491857454311</v>
      </c>
    </row>
    <row r="319" spans="1:3" x14ac:dyDescent="0.3">
      <c r="A319" s="6" t="s">
        <v>318</v>
      </c>
      <c r="B319" s="7">
        <v>4.0168000000000002E-2</v>
      </c>
      <c r="C319" s="7">
        <f t="shared" si="4"/>
        <v>0.84692491857454311</v>
      </c>
    </row>
    <row r="320" spans="1:3" x14ac:dyDescent="0.3">
      <c r="A320" s="6" t="s">
        <v>319</v>
      </c>
      <c r="B320" s="7">
        <v>4.0168000000000002E-2</v>
      </c>
      <c r="C320" s="7">
        <f t="shared" si="4"/>
        <v>0.84692491857454311</v>
      </c>
    </row>
    <row r="321" spans="1:3" x14ac:dyDescent="0.3">
      <c r="A321" s="6" t="s">
        <v>320</v>
      </c>
      <c r="B321" s="7">
        <v>4.0168000000000002E-2</v>
      </c>
      <c r="C321" s="7">
        <f t="shared" si="4"/>
        <v>0.84692491857454311</v>
      </c>
    </row>
    <row r="322" spans="1:3" x14ac:dyDescent="0.3">
      <c r="A322" s="6" t="s">
        <v>321</v>
      </c>
      <c r="B322" s="7">
        <v>4.0168000000000002E-2</v>
      </c>
      <c r="C322" s="7">
        <f t="shared" si="4"/>
        <v>0.84692491857454311</v>
      </c>
    </row>
    <row r="323" spans="1:3" x14ac:dyDescent="0.3">
      <c r="A323" s="6" t="s">
        <v>322</v>
      </c>
      <c r="B323" s="7">
        <v>4.0168000000000002E-2</v>
      </c>
      <c r="C323" s="7">
        <f t="shared" si="4"/>
        <v>0.84692491857454311</v>
      </c>
    </row>
    <row r="324" spans="1:3" x14ac:dyDescent="0.3">
      <c r="A324" s="6" t="s">
        <v>323</v>
      </c>
      <c r="B324" s="7">
        <v>4.0168000000000002E-2</v>
      </c>
      <c r="C324" s="7">
        <f t="shared" si="4"/>
        <v>0.84692491857454311</v>
      </c>
    </row>
    <row r="325" spans="1:3" x14ac:dyDescent="0.3">
      <c r="A325" s="6" t="s">
        <v>324</v>
      </c>
      <c r="B325" s="7">
        <v>4.0168000000000002E-2</v>
      </c>
      <c r="C325" s="7">
        <f t="shared" si="4"/>
        <v>0.84692491857454311</v>
      </c>
    </row>
    <row r="326" spans="1:3" x14ac:dyDescent="0.3">
      <c r="A326" s="6" t="s">
        <v>325</v>
      </c>
      <c r="B326" s="7">
        <v>4.0168000000000002E-2</v>
      </c>
      <c r="C326" s="7">
        <f t="shared" si="4"/>
        <v>0.84692491857454311</v>
      </c>
    </row>
    <row r="327" spans="1:3" x14ac:dyDescent="0.3">
      <c r="A327" s="6" t="s">
        <v>326</v>
      </c>
      <c r="B327" s="7">
        <v>4.0168000000000002E-2</v>
      </c>
      <c r="C327" s="7">
        <f t="shared" si="4"/>
        <v>0.84692491857454311</v>
      </c>
    </row>
    <row r="328" spans="1:3" x14ac:dyDescent="0.3">
      <c r="A328" s="6" t="s">
        <v>327</v>
      </c>
      <c r="B328" s="7">
        <v>4.0168000000000002E-2</v>
      </c>
      <c r="C328" s="7">
        <f t="shared" ref="C328:C391" si="5">((1+B328/100)^21-1)*100</f>
        <v>0.84692491857454311</v>
      </c>
    </row>
    <row r="329" spans="1:3" x14ac:dyDescent="0.3">
      <c r="A329" s="6" t="s">
        <v>328</v>
      </c>
      <c r="B329" s="7">
        <v>4.0168000000000002E-2</v>
      </c>
      <c r="C329" s="7">
        <f t="shared" si="5"/>
        <v>0.84692491857454311</v>
      </c>
    </row>
    <row r="330" spans="1:3" x14ac:dyDescent="0.3">
      <c r="A330" s="6" t="s">
        <v>329</v>
      </c>
      <c r="B330" s="7">
        <v>4.0168000000000002E-2</v>
      </c>
      <c r="C330" s="7">
        <f t="shared" si="5"/>
        <v>0.84692491857454311</v>
      </c>
    </row>
    <row r="331" spans="1:3" x14ac:dyDescent="0.3">
      <c r="A331" s="6" t="s">
        <v>330</v>
      </c>
      <c r="B331" s="7">
        <v>4.0168000000000002E-2</v>
      </c>
      <c r="C331" s="7">
        <f t="shared" si="5"/>
        <v>0.84692491857454311</v>
      </c>
    </row>
    <row r="332" spans="1:3" x14ac:dyDescent="0.3">
      <c r="A332" s="6" t="s">
        <v>331</v>
      </c>
      <c r="B332" s="7">
        <v>4.0168000000000002E-2</v>
      </c>
      <c r="C332" s="7">
        <f t="shared" si="5"/>
        <v>0.84692491857454311</v>
      </c>
    </row>
    <row r="333" spans="1:3" x14ac:dyDescent="0.3">
      <c r="A333" s="6" t="s">
        <v>332</v>
      </c>
      <c r="B333" s="7">
        <v>4.0168000000000002E-2</v>
      </c>
      <c r="C333" s="7">
        <f t="shared" si="5"/>
        <v>0.84692491857454311</v>
      </c>
    </row>
    <row r="334" spans="1:3" x14ac:dyDescent="0.3">
      <c r="A334" s="6" t="s">
        <v>333</v>
      </c>
      <c r="B334" s="7">
        <v>4.0168000000000002E-2</v>
      </c>
      <c r="C334" s="7">
        <f t="shared" si="5"/>
        <v>0.84692491857454311</v>
      </c>
    </row>
    <row r="335" spans="1:3" x14ac:dyDescent="0.3">
      <c r="A335" s="6" t="s">
        <v>334</v>
      </c>
      <c r="B335" s="7">
        <v>4.0168000000000002E-2</v>
      </c>
      <c r="C335" s="7">
        <f t="shared" si="5"/>
        <v>0.84692491857454311</v>
      </c>
    </row>
    <row r="336" spans="1:3" x14ac:dyDescent="0.3">
      <c r="A336" s="6" t="s">
        <v>335</v>
      </c>
      <c r="B336" s="7">
        <v>4.0168000000000002E-2</v>
      </c>
      <c r="C336" s="7">
        <f t="shared" si="5"/>
        <v>0.84692491857454311</v>
      </c>
    </row>
    <row r="337" spans="1:3" x14ac:dyDescent="0.3">
      <c r="A337" s="6" t="s">
        <v>336</v>
      </c>
      <c r="B337" s="7">
        <v>4.0168000000000002E-2</v>
      </c>
      <c r="C337" s="7">
        <f t="shared" si="5"/>
        <v>0.84692491857454311</v>
      </c>
    </row>
    <row r="338" spans="1:3" x14ac:dyDescent="0.3">
      <c r="A338" s="6" t="s">
        <v>337</v>
      </c>
      <c r="B338" s="7">
        <v>4.0168000000000002E-2</v>
      </c>
      <c r="C338" s="7">
        <f t="shared" si="5"/>
        <v>0.84692491857454311</v>
      </c>
    </row>
    <row r="339" spans="1:3" x14ac:dyDescent="0.3">
      <c r="A339" s="6" t="s">
        <v>338</v>
      </c>
      <c r="B339" s="7">
        <v>4.0168000000000002E-2</v>
      </c>
      <c r="C339" s="7">
        <f t="shared" si="5"/>
        <v>0.84692491857454311</v>
      </c>
    </row>
    <row r="340" spans="1:3" x14ac:dyDescent="0.3">
      <c r="A340" s="6" t="s">
        <v>339</v>
      </c>
      <c r="B340" s="7">
        <v>4.0168000000000002E-2</v>
      </c>
      <c r="C340" s="7">
        <f t="shared" si="5"/>
        <v>0.84692491857454311</v>
      </c>
    </row>
    <row r="341" spans="1:3" x14ac:dyDescent="0.3">
      <c r="A341" s="6" t="s">
        <v>340</v>
      </c>
      <c r="B341" s="7">
        <v>4.0168000000000002E-2</v>
      </c>
      <c r="C341" s="7">
        <f t="shared" si="5"/>
        <v>0.84692491857454311</v>
      </c>
    </row>
    <row r="342" spans="1:3" x14ac:dyDescent="0.3">
      <c r="A342" s="6" t="s">
        <v>341</v>
      </c>
      <c r="B342" s="7">
        <v>4.0168000000000002E-2</v>
      </c>
      <c r="C342" s="7">
        <f t="shared" si="5"/>
        <v>0.84692491857454311</v>
      </c>
    </row>
    <row r="343" spans="1:3" x14ac:dyDescent="0.3">
      <c r="A343" s="6" t="s">
        <v>342</v>
      </c>
      <c r="B343" s="7">
        <v>4.0168000000000002E-2</v>
      </c>
      <c r="C343" s="7">
        <f t="shared" si="5"/>
        <v>0.84692491857454311</v>
      </c>
    </row>
    <row r="344" spans="1:3" x14ac:dyDescent="0.3">
      <c r="A344" s="6" t="s">
        <v>343</v>
      </c>
      <c r="B344" s="7">
        <v>4.0168000000000002E-2</v>
      </c>
      <c r="C344" s="7">
        <f t="shared" si="5"/>
        <v>0.84692491857454311</v>
      </c>
    </row>
    <row r="345" spans="1:3" x14ac:dyDescent="0.3">
      <c r="A345" s="6" t="s">
        <v>344</v>
      </c>
      <c r="B345" s="7">
        <v>3.9269999999999999E-2</v>
      </c>
      <c r="C345" s="7">
        <f t="shared" si="5"/>
        <v>0.82791654776350754</v>
      </c>
    </row>
    <row r="346" spans="1:3" x14ac:dyDescent="0.3">
      <c r="A346" s="6" t="s">
        <v>345</v>
      </c>
      <c r="B346" s="7">
        <v>3.9269999999999999E-2</v>
      </c>
      <c r="C346" s="7">
        <f t="shared" si="5"/>
        <v>0.82791654776350754</v>
      </c>
    </row>
    <row r="347" spans="1:3" x14ac:dyDescent="0.3">
      <c r="A347" s="6" t="s">
        <v>346</v>
      </c>
      <c r="B347" s="7">
        <v>3.9269999999999999E-2</v>
      </c>
      <c r="C347" s="7">
        <f t="shared" si="5"/>
        <v>0.82791654776350754</v>
      </c>
    </row>
    <row r="348" spans="1:3" x14ac:dyDescent="0.3">
      <c r="A348" s="6" t="s">
        <v>347</v>
      </c>
      <c r="B348" s="7">
        <v>3.9269999999999999E-2</v>
      </c>
      <c r="C348" s="7">
        <f t="shared" si="5"/>
        <v>0.82791654776350754</v>
      </c>
    </row>
    <row r="349" spans="1:3" x14ac:dyDescent="0.3">
      <c r="A349" s="6" t="s">
        <v>348</v>
      </c>
      <c r="B349" s="7">
        <v>3.9269999999999999E-2</v>
      </c>
      <c r="C349" s="7">
        <f t="shared" si="5"/>
        <v>0.82791654776350754</v>
      </c>
    </row>
    <row r="350" spans="1:3" x14ac:dyDescent="0.3">
      <c r="A350" s="6" t="s">
        <v>349</v>
      </c>
      <c r="B350" s="7">
        <v>3.9269999999999999E-2</v>
      </c>
      <c r="C350" s="7">
        <f t="shared" si="5"/>
        <v>0.82791654776350754</v>
      </c>
    </row>
    <row r="351" spans="1:3" x14ac:dyDescent="0.3">
      <c r="A351" s="6" t="s">
        <v>350</v>
      </c>
      <c r="B351" s="7">
        <v>3.9269999999999999E-2</v>
      </c>
      <c r="C351" s="7">
        <f t="shared" si="5"/>
        <v>0.82791654776350754</v>
      </c>
    </row>
    <row r="352" spans="1:3" x14ac:dyDescent="0.3">
      <c r="A352" s="6" t="s">
        <v>351</v>
      </c>
      <c r="B352" s="7">
        <v>3.9269999999999999E-2</v>
      </c>
      <c r="C352" s="7">
        <f t="shared" si="5"/>
        <v>0.82791654776350754</v>
      </c>
    </row>
    <row r="353" spans="1:3" x14ac:dyDescent="0.3">
      <c r="A353" s="6" t="s">
        <v>352</v>
      </c>
      <c r="B353" s="7">
        <v>3.9269999999999999E-2</v>
      </c>
      <c r="C353" s="7">
        <f t="shared" si="5"/>
        <v>0.82791654776350754</v>
      </c>
    </row>
    <row r="354" spans="1:3" x14ac:dyDescent="0.3">
      <c r="A354" s="6" t="s">
        <v>353</v>
      </c>
      <c r="B354" s="7">
        <v>3.9269999999999999E-2</v>
      </c>
      <c r="C354" s="7">
        <f t="shared" si="5"/>
        <v>0.82791654776350754</v>
      </c>
    </row>
    <row r="355" spans="1:3" x14ac:dyDescent="0.3">
      <c r="A355" s="6" t="s">
        <v>354</v>
      </c>
      <c r="B355" s="7">
        <v>3.9269999999999999E-2</v>
      </c>
      <c r="C355" s="7">
        <f t="shared" si="5"/>
        <v>0.82791654776350754</v>
      </c>
    </row>
    <row r="356" spans="1:3" x14ac:dyDescent="0.3">
      <c r="A356" s="6" t="s">
        <v>355</v>
      </c>
      <c r="B356" s="7">
        <v>3.9269999999999999E-2</v>
      </c>
      <c r="C356" s="7">
        <f t="shared" si="5"/>
        <v>0.82791654776350754</v>
      </c>
    </row>
    <row r="357" spans="1:3" x14ac:dyDescent="0.3">
      <c r="A357" s="6" t="s">
        <v>356</v>
      </c>
      <c r="B357" s="7">
        <v>3.9269999999999999E-2</v>
      </c>
      <c r="C357" s="7">
        <f t="shared" si="5"/>
        <v>0.82791654776350754</v>
      </c>
    </row>
    <row r="358" spans="1:3" x14ac:dyDescent="0.3">
      <c r="A358" s="6" t="s">
        <v>357</v>
      </c>
      <c r="B358" s="7">
        <v>3.9269999999999999E-2</v>
      </c>
      <c r="C358" s="7">
        <f t="shared" si="5"/>
        <v>0.82791654776350754</v>
      </c>
    </row>
    <row r="359" spans="1:3" x14ac:dyDescent="0.3">
      <c r="A359" s="6" t="s">
        <v>358</v>
      </c>
      <c r="B359" s="7">
        <v>3.9269999999999999E-2</v>
      </c>
      <c r="C359" s="7">
        <f t="shared" si="5"/>
        <v>0.82791654776350754</v>
      </c>
    </row>
    <row r="360" spans="1:3" x14ac:dyDescent="0.3">
      <c r="A360" s="6" t="s">
        <v>359</v>
      </c>
      <c r="B360" s="7">
        <v>3.9269999999999999E-2</v>
      </c>
      <c r="C360" s="7">
        <f t="shared" si="5"/>
        <v>0.82791654776350754</v>
      </c>
    </row>
    <row r="361" spans="1:3" x14ac:dyDescent="0.3">
      <c r="A361" s="6" t="s">
        <v>360</v>
      </c>
      <c r="B361" s="7">
        <v>3.9269999999999999E-2</v>
      </c>
      <c r="C361" s="7">
        <f t="shared" si="5"/>
        <v>0.82791654776350754</v>
      </c>
    </row>
    <row r="362" spans="1:3" x14ac:dyDescent="0.3">
      <c r="A362" s="6" t="s">
        <v>361</v>
      </c>
      <c r="B362" s="7">
        <v>3.9269999999999999E-2</v>
      </c>
      <c r="C362" s="7">
        <f t="shared" si="5"/>
        <v>0.82791654776350754</v>
      </c>
    </row>
    <row r="363" spans="1:3" x14ac:dyDescent="0.3">
      <c r="A363" s="6" t="s">
        <v>362</v>
      </c>
      <c r="B363" s="7">
        <v>3.9269999999999999E-2</v>
      </c>
      <c r="C363" s="7">
        <f t="shared" si="5"/>
        <v>0.82791654776350754</v>
      </c>
    </row>
    <row r="364" spans="1:3" x14ac:dyDescent="0.3">
      <c r="A364" s="6" t="s">
        <v>363</v>
      </c>
      <c r="B364" s="7">
        <v>3.9269999999999999E-2</v>
      </c>
      <c r="C364" s="7">
        <f t="shared" si="5"/>
        <v>0.82791654776350754</v>
      </c>
    </row>
    <row r="365" spans="1:3" x14ac:dyDescent="0.3">
      <c r="A365" s="6" t="s">
        <v>364</v>
      </c>
      <c r="B365" s="7">
        <v>3.9269999999999999E-2</v>
      </c>
      <c r="C365" s="7">
        <f t="shared" si="5"/>
        <v>0.82791654776350754</v>
      </c>
    </row>
    <row r="366" spans="1:3" x14ac:dyDescent="0.3">
      <c r="A366" s="6" t="s">
        <v>365</v>
      </c>
      <c r="B366" s="7">
        <v>3.9269999999999999E-2</v>
      </c>
      <c r="C366" s="7">
        <f t="shared" si="5"/>
        <v>0.82791654776350754</v>
      </c>
    </row>
    <row r="367" spans="1:3" x14ac:dyDescent="0.3">
      <c r="A367" s="6" t="s">
        <v>366</v>
      </c>
      <c r="B367" s="7">
        <v>3.9269999999999999E-2</v>
      </c>
      <c r="C367" s="7">
        <f t="shared" si="5"/>
        <v>0.82791654776350754</v>
      </c>
    </row>
    <row r="368" spans="1:3" x14ac:dyDescent="0.3">
      <c r="A368" s="6" t="s">
        <v>367</v>
      </c>
      <c r="B368" s="7">
        <v>3.9269999999999999E-2</v>
      </c>
      <c r="C368" s="7">
        <f t="shared" si="5"/>
        <v>0.82791654776350754</v>
      </c>
    </row>
    <row r="369" spans="1:3" x14ac:dyDescent="0.3">
      <c r="A369" s="6" t="s">
        <v>368</v>
      </c>
      <c r="B369" s="7">
        <v>3.9269999999999999E-2</v>
      </c>
      <c r="C369" s="7">
        <f t="shared" si="5"/>
        <v>0.82791654776350754</v>
      </c>
    </row>
    <row r="370" spans="1:3" x14ac:dyDescent="0.3">
      <c r="A370" s="6" t="s">
        <v>369</v>
      </c>
      <c r="B370" s="7">
        <v>3.9269999999999999E-2</v>
      </c>
      <c r="C370" s="7">
        <f t="shared" si="5"/>
        <v>0.82791654776350754</v>
      </c>
    </row>
    <row r="371" spans="1:3" x14ac:dyDescent="0.3">
      <c r="A371" s="6" t="s">
        <v>370</v>
      </c>
      <c r="B371" s="7">
        <v>3.9269999999999999E-2</v>
      </c>
      <c r="C371" s="7">
        <f t="shared" si="5"/>
        <v>0.82791654776350754</v>
      </c>
    </row>
    <row r="372" spans="1:3" x14ac:dyDescent="0.3">
      <c r="A372" s="6" t="s">
        <v>371</v>
      </c>
      <c r="B372" s="7">
        <v>3.9269999999999999E-2</v>
      </c>
      <c r="C372" s="7">
        <f t="shared" si="5"/>
        <v>0.82791654776350754</v>
      </c>
    </row>
    <row r="373" spans="1:3" x14ac:dyDescent="0.3">
      <c r="A373" s="6" t="s">
        <v>372</v>
      </c>
      <c r="B373" s="7">
        <v>3.9269999999999999E-2</v>
      </c>
      <c r="C373" s="7">
        <f t="shared" si="5"/>
        <v>0.82791654776350754</v>
      </c>
    </row>
    <row r="374" spans="1:3" x14ac:dyDescent="0.3">
      <c r="A374" s="6" t="s">
        <v>373</v>
      </c>
      <c r="B374" s="7">
        <v>3.9269999999999999E-2</v>
      </c>
      <c r="C374" s="7">
        <f t="shared" si="5"/>
        <v>0.82791654776350754</v>
      </c>
    </row>
    <row r="375" spans="1:3" x14ac:dyDescent="0.3">
      <c r="A375" s="6" t="s">
        <v>374</v>
      </c>
      <c r="B375" s="7">
        <v>3.9269999999999999E-2</v>
      </c>
      <c r="C375" s="7">
        <f t="shared" si="5"/>
        <v>0.82791654776350754</v>
      </c>
    </row>
    <row r="376" spans="1:3" x14ac:dyDescent="0.3">
      <c r="A376" s="6" t="s">
        <v>375</v>
      </c>
      <c r="B376" s="7">
        <v>3.9269999999999999E-2</v>
      </c>
      <c r="C376" s="7">
        <f t="shared" si="5"/>
        <v>0.82791654776350754</v>
      </c>
    </row>
    <row r="377" spans="1:3" x14ac:dyDescent="0.3">
      <c r="A377" s="6" t="s">
        <v>376</v>
      </c>
      <c r="B377" s="7">
        <v>3.9269999999999999E-2</v>
      </c>
      <c r="C377" s="7">
        <f t="shared" si="5"/>
        <v>0.82791654776350754</v>
      </c>
    </row>
    <row r="378" spans="1:3" x14ac:dyDescent="0.3">
      <c r="A378" s="6" t="s">
        <v>377</v>
      </c>
      <c r="B378" s="7">
        <v>3.9269999999999999E-2</v>
      </c>
      <c r="C378" s="7">
        <f t="shared" si="5"/>
        <v>0.82791654776350754</v>
      </c>
    </row>
    <row r="379" spans="1:3" x14ac:dyDescent="0.3">
      <c r="A379" s="6" t="s">
        <v>378</v>
      </c>
      <c r="B379" s="7">
        <v>3.9269999999999999E-2</v>
      </c>
      <c r="C379" s="7">
        <f t="shared" si="5"/>
        <v>0.82791654776350754</v>
      </c>
    </row>
    <row r="380" spans="1:3" x14ac:dyDescent="0.3">
      <c r="A380" s="6" t="s">
        <v>379</v>
      </c>
      <c r="B380" s="7">
        <v>3.9269999999999999E-2</v>
      </c>
      <c r="C380" s="7">
        <f t="shared" si="5"/>
        <v>0.82791654776350754</v>
      </c>
    </row>
    <row r="381" spans="1:3" x14ac:dyDescent="0.3">
      <c r="A381" s="6" t="s">
        <v>380</v>
      </c>
      <c r="B381" s="7">
        <v>3.9269999999999999E-2</v>
      </c>
      <c r="C381" s="7">
        <f t="shared" si="5"/>
        <v>0.82791654776350754</v>
      </c>
    </row>
    <row r="382" spans="1:3" x14ac:dyDescent="0.3">
      <c r="A382" s="6" t="s">
        <v>381</v>
      </c>
      <c r="B382" s="7">
        <v>3.9269999999999999E-2</v>
      </c>
      <c r="C382" s="7">
        <f t="shared" si="5"/>
        <v>0.82791654776350754</v>
      </c>
    </row>
    <row r="383" spans="1:3" x14ac:dyDescent="0.3">
      <c r="A383" s="6" t="s">
        <v>382</v>
      </c>
      <c r="B383" s="7">
        <v>3.9269999999999999E-2</v>
      </c>
      <c r="C383" s="7">
        <f t="shared" si="5"/>
        <v>0.82791654776350754</v>
      </c>
    </row>
    <row r="384" spans="1:3" x14ac:dyDescent="0.3">
      <c r="A384" s="6" t="s">
        <v>383</v>
      </c>
      <c r="B384" s="7">
        <v>3.9269999999999999E-2</v>
      </c>
      <c r="C384" s="7">
        <f t="shared" si="5"/>
        <v>0.82791654776350754</v>
      </c>
    </row>
    <row r="385" spans="1:3" x14ac:dyDescent="0.3">
      <c r="A385" s="6" t="s">
        <v>384</v>
      </c>
      <c r="B385" s="7">
        <v>3.9269999999999999E-2</v>
      </c>
      <c r="C385" s="7">
        <f t="shared" si="5"/>
        <v>0.82791654776350754</v>
      </c>
    </row>
    <row r="386" spans="1:3" x14ac:dyDescent="0.3">
      <c r="A386" s="6" t="s">
        <v>385</v>
      </c>
      <c r="B386" s="7">
        <v>3.9269999999999999E-2</v>
      </c>
      <c r="C386" s="7">
        <f t="shared" si="5"/>
        <v>0.82791654776350754</v>
      </c>
    </row>
    <row r="387" spans="1:3" x14ac:dyDescent="0.3">
      <c r="A387" s="6" t="s">
        <v>386</v>
      </c>
      <c r="B387" s="7">
        <v>3.9269999999999999E-2</v>
      </c>
      <c r="C387" s="7">
        <f t="shared" si="5"/>
        <v>0.82791654776350754</v>
      </c>
    </row>
    <row r="388" spans="1:3" x14ac:dyDescent="0.3">
      <c r="A388" s="6" t="s">
        <v>387</v>
      </c>
      <c r="B388" s="7">
        <v>3.9269999999999999E-2</v>
      </c>
      <c r="C388" s="7">
        <f t="shared" si="5"/>
        <v>0.82791654776350754</v>
      </c>
    </row>
    <row r="389" spans="1:3" x14ac:dyDescent="0.3">
      <c r="A389" s="6" t="s">
        <v>388</v>
      </c>
      <c r="B389" s="7">
        <v>3.9269999999999999E-2</v>
      </c>
      <c r="C389" s="7">
        <f t="shared" si="5"/>
        <v>0.82791654776350754</v>
      </c>
    </row>
    <row r="390" spans="1:3" x14ac:dyDescent="0.3">
      <c r="A390" s="6" t="s">
        <v>389</v>
      </c>
      <c r="B390" s="7">
        <v>3.9269999999999999E-2</v>
      </c>
      <c r="C390" s="7">
        <f t="shared" si="5"/>
        <v>0.82791654776350754</v>
      </c>
    </row>
    <row r="391" spans="1:3" x14ac:dyDescent="0.3">
      <c r="A391" s="6" t="s">
        <v>390</v>
      </c>
      <c r="B391" s="7">
        <v>3.9269999999999999E-2</v>
      </c>
      <c r="C391" s="7">
        <f t="shared" si="5"/>
        <v>0.82791654776350754</v>
      </c>
    </row>
    <row r="392" spans="1:3" x14ac:dyDescent="0.3">
      <c r="A392" s="6" t="s">
        <v>391</v>
      </c>
      <c r="B392" s="7">
        <v>3.9269999999999999E-2</v>
      </c>
      <c r="C392" s="7">
        <f t="shared" ref="C392:C455" si="6">((1+B392/100)^21-1)*100</f>
        <v>0.82791654776350754</v>
      </c>
    </row>
    <row r="393" spans="1:3" x14ac:dyDescent="0.3">
      <c r="A393" s="6" t="s">
        <v>392</v>
      </c>
      <c r="B393" s="7">
        <v>3.9269999999999999E-2</v>
      </c>
      <c r="C393" s="7">
        <f t="shared" si="6"/>
        <v>0.82791654776350754</v>
      </c>
    </row>
    <row r="394" spans="1:3" x14ac:dyDescent="0.3">
      <c r="A394" s="6" t="s">
        <v>393</v>
      </c>
      <c r="B394" s="7">
        <v>3.9269999999999999E-2</v>
      </c>
      <c r="C394" s="7">
        <f t="shared" si="6"/>
        <v>0.82791654776350754</v>
      </c>
    </row>
    <row r="395" spans="1:3" x14ac:dyDescent="0.3">
      <c r="A395" s="6" t="s">
        <v>394</v>
      </c>
      <c r="B395" s="7">
        <v>3.9269999999999999E-2</v>
      </c>
      <c r="C395" s="7">
        <f t="shared" si="6"/>
        <v>0.82791654776350754</v>
      </c>
    </row>
    <row r="396" spans="1:3" x14ac:dyDescent="0.3">
      <c r="A396" s="6" t="s">
        <v>395</v>
      </c>
      <c r="B396" s="7">
        <v>3.9269999999999999E-2</v>
      </c>
      <c r="C396" s="7">
        <f t="shared" si="6"/>
        <v>0.82791654776350754</v>
      </c>
    </row>
    <row r="397" spans="1:3" x14ac:dyDescent="0.3">
      <c r="A397" s="6" t="s">
        <v>396</v>
      </c>
      <c r="B397" s="7">
        <v>3.9269999999999999E-2</v>
      </c>
      <c r="C397" s="7">
        <f t="shared" si="6"/>
        <v>0.82791654776350754</v>
      </c>
    </row>
    <row r="398" spans="1:3" x14ac:dyDescent="0.3">
      <c r="A398" s="6" t="s">
        <v>397</v>
      </c>
      <c r="B398" s="7">
        <v>3.9269999999999999E-2</v>
      </c>
      <c r="C398" s="7">
        <f t="shared" si="6"/>
        <v>0.82791654776350754</v>
      </c>
    </row>
    <row r="399" spans="1:3" x14ac:dyDescent="0.3">
      <c r="A399" s="6" t="s">
        <v>398</v>
      </c>
      <c r="B399" s="7">
        <v>3.9269999999999999E-2</v>
      </c>
      <c r="C399" s="7">
        <f t="shared" si="6"/>
        <v>0.82791654776350754</v>
      </c>
    </row>
    <row r="400" spans="1:3" x14ac:dyDescent="0.3">
      <c r="A400" s="6" t="s">
        <v>399</v>
      </c>
      <c r="B400" s="7">
        <v>3.9269999999999999E-2</v>
      </c>
      <c r="C400" s="7">
        <f t="shared" si="6"/>
        <v>0.82791654776350754</v>
      </c>
    </row>
    <row r="401" spans="1:3" x14ac:dyDescent="0.3">
      <c r="A401" s="6" t="s">
        <v>400</v>
      </c>
      <c r="B401" s="7">
        <v>3.9269999999999999E-2</v>
      </c>
      <c r="C401" s="7">
        <f t="shared" si="6"/>
        <v>0.82791654776350754</v>
      </c>
    </row>
    <row r="402" spans="1:3" x14ac:dyDescent="0.3">
      <c r="A402" s="6" t="s">
        <v>401</v>
      </c>
      <c r="B402" s="7">
        <v>3.9269999999999999E-2</v>
      </c>
      <c r="C402" s="7">
        <f t="shared" si="6"/>
        <v>0.82791654776350754</v>
      </c>
    </row>
    <row r="403" spans="1:3" x14ac:dyDescent="0.3">
      <c r="A403" s="6" t="s">
        <v>402</v>
      </c>
      <c r="B403" s="7">
        <v>3.9269999999999999E-2</v>
      </c>
      <c r="C403" s="7">
        <f t="shared" si="6"/>
        <v>0.82791654776350754</v>
      </c>
    </row>
    <row r="404" spans="1:3" x14ac:dyDescent="0.3">
      <c r="A404" s="6" t="s">
        <v>403</v>
      </c>
      <c r="B404" s="7">
        <v>3.9269999999999999E-2</v>
      </c>
      <c r="C404" s="7">
        <f t="shared" si="6"/>
        <v>0.82791654776350754</v>
      </c>
    </row>
    <row r="405" spans="1:3" x14ac:dyDescent="0.3">
      <c r="A405" s="6" t="s">
        <v>404</v>
      </c>
      <c r="B405" s="7">
        <v>3.9269999999999999E-2</v>
      </c>
      <c r="C405" s="7">
        <f t="shared" si="6"/>
        <v>0.82791654776350754</v>
      </c>
    </row>
    <row r="406" spans="1:3" x14ac:dyDescent="0.3">
      <c r="A406" s="6" t="s">
        <v>405</v>
      </c>
      <c r="B406" s="7">
        <v>3.9269999999999999E-2</v>
      </c>
      <c r="C406" s="7">
        <f t="shared" si="6"/>
        <v>0.82791654776350754</v>
      </c>
    </row>
    <row r="407" spans="1:3" x14ac:dyDescent="0.3">
      <c r="A407" s="6" t="s">
        <v>406</v>
      </c>
      <c r="B407" s="7">
        <v>3.9269999999999999E-2</v>
      </c>
      <c r="C407" s="7">
        <f t="shared" si="6"/>
        <v>0.82791654776350754</v>
      </c>
    </row>
    <row r="408" spans="1:3" x14ac:dyDescent="0.3">
      <c r="A408" s="6" t="s">
        <v>407</v>
      </c>
      <c r="B408" s="7">
        <v>3.9269999999999999E-2</v>
      </c>
      <c r="C408" s="7">
        <f t="shared" si="6"/>
        <v>0.82791654776350754</v>
      </c>
    </row>
    <row r="409" spans="1:3" x14ac:dyDescent="0.3">
      <c r="A409" s="6" t="s">
        <v>408</v>
      </c>
      <c r="B409" s="7">
        <v>3.9269999999999999E-2</v>
      </c>
      <c r="C409" s="7">
        <f t="shared" si="6"/>
        <v>0.82791654776350754</v>
      </c>
    </row>
    <row r="410" spans="1:3" x14ac:dyDescent="0.3">
      <c r="A410" s="6" t="s">
        <v>409</v>
      </c>
      <c r="B410" s="7">
        <v>3.9269999999999999E-2</v>
      </c>
      <c r="C410" s="7">
        <f t="shared" si="6"/>
        <v>0.82791654776350754</v>
      </c>
    </row>
    <row r="411" spans="1:3" x14ac:dyDescent="0.3">
      <c r="A411" s="6" t="s">
        <v>410</v>
      </c>
      <c r="B411" s="7">
        <v>3.9269999999999999E-2</v>
      </c>
      <c r="C411" s="7">
        <f t="shared" si="6"/>
        <v>0.82791654776350754</v>
      </c>
    </row>
    <row r="412" spans="1:3" x14ac:dyDescent="0.3">
      <c r="A412" s="6" t="s">
        <v>411</v>
      </c>
      <c r="B412" s="7">
        <v>3.9269999999999999E-2</v>
      </c>
      <c r="C412" s="7">
        <f t="shared" si="6"/>
        <v>0.82791654776350754</v>
      </c>
    </row>
    <row r="413" spans="1:3" x14ac:dyDescent="0.3">
      <c r="A413" s="6" t="s">
        <v>412</v>
      </c>
      <c r="B413" s="7">
        <v>3.9269999999999999E-2</v>
      </c>
      <c r="C413" s="7">
        <f t="shared" si="6"/>
        <v>0.82791654776350754</v>
      </c>
    </row>
    <row r="414" spans="1:3" x14ac:dyDescent="0.3">
      <c r="A414" s="6" t="s">
        <v>413</v>
      </c>
      <c r="B414" s="7">
        <v>3.9269999999999999E-2</v>
      </c>
      <c r="C414" s="7">
        <f t="shared" si="6"/>
        <v>0.82791654776350754</v>
      </c>
    </row>
    <row r="415" spans="1:3" x14ac:dyDescent="0.3">
      <c r="A415" s="6" t="s">
        <v>414</v>
      </c>
      <c r="B415" s="7">
        <v>3.9269999999999999E-2</v>
      </c>
      <c r="C415" s="7">
        <f t="shared" si="6"/>
        <v>0.82791654776350754</v>
      </c>
    </row>
    <row r="416" spans="1:3" x14ac:dyDescent="0.3">
      <c r="A416" s="6" t="s">
        <v>415</v>
      </c>
      <c r="B416" s="7">
        <v>3.9269999999999999E-2</v>
      </c>
      <c r="C416" s="7">
        <f t="shared" si="6"/>
        <v>0.82791654776350754</v>
      </c>
    </row>
    <row r="417" spans="1:3" x14ac:dyDescent="0.3">
      <c r="A417" s="6" t="s">
        <v>416</v>
      </c>
      <c r="B417" s="7">
        <v>3.9269999999999999E-2</v>
      </c>
      <c r="C417" s="7">
        <f t="shared" si="6"/>
        <v>0.82791654776350754</v>
      </c>
    </row>
    <row r="418" spans="1:3" x14ac:dyDescent="0.3">
      <c r="A418" s="6" t="s">
        <v>417</v>
      </c>
      <c r="B418" s="7">
        <v>3.9269999999999999E-2</v>
      </c>
      <c r="C418" s="7">
        <f t="shared" si="6"/>
        <v>0.82791654776350754</v>
      </c>
    </row>
    <row r="419" spans="1:3" x14ac:dyDescent="0.3">
      <c r="A419" s="6" t="s">
        <v>418</v>
      </c>
      <c r="B419" s="7">
        <v>3.9269999999999999E-2</v>
      </c>
      <c r="C419" s="7">
        <f t="shared" si="6"/>
        <v>0.82791654776350754</v>
      </c>
    </row>
    <row r="420" spans="1:3" x14ac:dyDescent="0.3">
      <c r="A420" s="6" t="s">
        <v>419</v>
      </c>
      <c r="B420" s="7">
        <v>3.9269999999999999E-2</v>
      </c>
      <c r="C420" s="7">
        <f t="shared" si="6"/>
        <v>0.82791654776350754</v>
      </c>
    </row>
    <row r="421" spans="1:3" x14ac:dyDescent="0.3">
      <c r="A421" s="6" t="s">
        <v>420</v>
      </c>
      <c r="B421" s="7">
        <v>3.9269999999999999E-2</v>
      </c>
      <c r="C421" s="7">
        <f t="shared" si="6"/>
        <v>0.82791654776350754</v>
      </c>
    </row>
    <row r="422" spans="1:3" x14ac:dyDescent="0.3">
      <c r="A422" s="6" t="s">
        <v>421</v>
      </c>
      <c r="B422" s="7">
        <v>3.9269999999999999E-2</v>
      </c>
      <c r="C422" s="7">
        <f t="shared" si="6"/>
        <v>0.82791654776350754</v>
      </c>
    </row>
    <row r="423" spans="1:3" x14ac:dyDescent="0.3">
      <c r="A423" s="6" t="s">
        <v>422</v>
      </c>
      <c r="B423" s="7">
        <v>3.9269999999999999E-2</v>
      </c>
      <c r="C423" s="7">
        <f t="shared" si="6"/>
        <v>0.82791654776350754</v>
      </c>
    </row>
    <row r="424" spans="1:3" x14ac:dyDescent="0.3">
      <c r="A424" s="6" t="s">
        <v>423</v>
      </c>
      <c r="B424" s="7">
        <v>3.9269999999999999E-2</v>
      </c>
      <c r="C424" s="7">
        <f t="shared" si="6"/>
        <v>0.82791654776350754</v>
      </c>
    </row>
    <row r="425" spans="1:3" x14ac:dyDescent="0.3">
      <c r="A425" s="6" t="s">
        <v>424</v>
      </c>
      <c r="B425" s="7">
        <v>3.9269999999999999E-2</v>
      </c>
      <c r="C425" s="7">
        <f t="shared" si="6"/>
        <v>0.82791654776350754</v>
      </c>
    </row>
    <row r="426" spans="1:3" x14ac:dyDescent="0.3">
      <c r="A426" s="6" t="s">
        <v>425</v>
      </c>
      <c r="B426" s="7">
        <v>3.9269999999999999E-2</v>
      </c>
      <c r="C426" s="7">
        <f t="shared" si="6"/>
        <v>0.82791654776350754</v>
      </c>
    </row>
    <row r="427" spans="1:3" x14ac:dyDescent="0.3">
      <c r="A427" s="6" t="s">
        <v>426</v>
      </c>
      <c r="B427" s="7">
        <v>3.9269999999999999E-2</v>
      </c>
      <c r="C427" s="7">
        <f t="shared" si="6"/>
        <v>0.82791654776350754</v>
      </c>
    </row>
    <row r="428" spans="1:3" x14ac:dyDescent="0.3">
      <c r="A428" s="6" t="s">
        <v>427</v>
      </c>
      <c r="B428" s="7">
        <v>3.9269999999999999E-2</v>
      </c>
      <c r="C428" s="7">
        <f t="shared" si="6"/>
        <v>0.82791654776350754</v>
      </c>
    </row>
    <row r="429" spans="1:3" x14ac:dyDescent="0.3">
      <c r="A429" s="6" t="s">
        <v>428</v>
      </c>
      <c r="B429" s="7">
        <v>3.9269999999999999E-2</v>
      </c>
      <c r="C429" s="7">
        <f t="shared" si="6"/>
        <v>0.82791654776350754</v>
      </c>
    </row>
    <row r="430" spans="1:3" x14ac:dyDescent="0.3">
      <c r="A430" s="6" t="s">
        <v>429</v>
      </c>
      <c r="B430" s="7">
        <v>3.9269999999999999E-2</v>
      </c>
      <c r="C430" s="7">
        <f t="shared" si="6"/>
        <v>0.82791654776350754</v>
      </c>
    </row>
    <row r="431" spans="1:3" x14ac:dyDescent="0.3">
      <c r="A431" s="6" t="s">
        <v>430</v>
      </c>
      <c r="B431" s="7">
        <v>3.9269999999999999E-2</v>
      </c>
      <c r="C431" s="7">
        <f t="shared" si="6"/>
        <v>0.82791654776350754</v>
      </c>
    </row>
    <row r="432" spans="1:3" x14ac:dyDescent="0.3">
      <c r="A432" s="6" t="s">
        <v>431</v>
      </c>
      <c r="B432" s="7">
        <v>3.9269999999999999E-2</v>
      </c>
      <c r="C432" s="7">
        <f t="shared" si="6"/>
        <v>0.82791654776350754</v>
      </c>
    </row>
    <row r="433" spans="1:3" x14ac:dyDescent="0.3">
      <c r="A433" s="6" t="s">
        <v>432</v>
      </c>
      <c r="B433" s="7">
        <v>3.9269999999999999E-2</v>
      </c>
      <c r="C433" s="7">
        <f t="shared" si="6"/>
        <v>0.82791654776350754</v>
      </c>
    </row>
    <row r="434" spans="1:3" x14ac:dyDescent="0.3">
      <c r="A434" s="6" t="s">
        <v>433</v>
      </c>
      <c r="B434" s="7">
        <v>3.9269999999999999E-2</v>
      </c>
      <c r="C434" s="7">
        <f t="shared" si="6"/>
        <v>0.82791654776350754</v>
      </c>
    </row>
    <row r="435" spans="1:3" x14ac:dyDescent="0.3">
      <c r="A435" s="6" t="s">
        <v>434</v>
      </c>
      <c r="B435" s="7">
        <v>3.9269999999999999E-2</v>
      </c>
      <c r="C435" s="7">
        <f t="shared" si="6"/>
        <v>0.82791654776350754</v>
      </c>
    </row>
    <row r="436" spans="1:3" x14ac:dyDescent="0.3">
      <c r="A436" s="6" t="s">
        <v>435</v>
      </c>
      <c r="B436" s="7">
        <v>3.9269999999999999E-2</v>
      </c>
      <c r="C436" s="7">
        <f t="shared" si="6"/>
        <v>0.82791654776350754</v>
      </c>
    </row>
    <row r="437" spans="1:3" x14ac:dyDescent="0.3">
      <c r="A437" s="6" t="s">
        <v>436</v>
      </c>
      <c r="B437" s="7">
        <v>3.9269999999999999E-2</v>
      </c>
      <c r="C437" s="7">
        <f t="shared" si="6"/>
        <v>0.82791654776350754</v>
      </c>
    </row>
    <row r="438" spans="1:3" x14ac:dyDescent="0.3">
      <c r="A438" s="6" t="s">
        <v>437</v>
      </c>
      <c r="B438" s="7">
        <v>3.9269999999999999E-2</v>
      </c>
      <c r="C438" s="7">
        <f t="shared" si="6"/>
        <v>0.82791654776350754</v>
      </c>
    </row>
    <row r="439" spans="1:3" x14ac:dyDescent="0.3">
      <c r="A439" s="6" t="s">
        <v>438</v>
      </c>
      <c r="B439" s="7">
        <v>4.0168000000000002E-2</v>
      </c>
      <c r="C439" s="7">
        <f t="shared" si="6"/>
        <v>0.84692491857454311</v>
      </c>
    </row>
    <row r="440" spans="1:3" x14ac:dyDescent="0.3">
      <c r="A440" s="6" t="s">
        <v>439</v>
      </c>
      <c r="B440" s="7">
        <v>4.0168000000000002E-2</v>
      </c>
      <c r="C440" s="7">
        <f t="shared" si="6"/>
        <v>0.84692491857454311</v>
      </c>
    </row>
    <row r="441" spans="1:3" x14ac:dyDescent="0.3">
      <c r="A441" s="6" t="s">
        <v>440</v>
      </c>
      <c r="B441" s="7">
        <v>4.0168000000000002E-2</v>
      </c>
      <c r="C441" s="7">
        <f t="shared" si="6"/>
        <v>0.84692491857454311</v>
      </c>
    </row>
    <row r="442" spans="1:3" x14ac:dyDescent="0.3">
      <c r="A442" s="6" t="s">
        <v>441</v>
      </c>
      <c r="B442" s="7">
        <v>4.0168000000000002E-2</v>
      </c>
      <c r="C442" s="7">
        <f t="shared" si="6"/>
        <v>0.84692491857454311</v>
      </c>
    </row>
    <row r="443" spans="1:3" x14ac:dyDescent="0.3">
      <c r="A443" s="6" t="s">
        <v>442</v>
      </c>
      <c r="B443" s="7">
        <v>4.0168000000000002E-2</v>
      </c>
      <c r="C443" s="7">
        <f t="shared" si="6"/>
        <v>0.84692491857454311</v>
      </c>
    </row>
    <row r="444" spans="1:3" x14ac:dyDescent="0.3">
      <c r="A444" s="6" t="s">
        <v>443</v>
      </c>
      <c r="B444" s="7">
        <v>4.0168000000000002E-2</v>
      </c>
      <c r="C444" s="7">
        <f t="shared" si="6"/>
        <v>0.84692491857454311</v>
      </c>
    </row>
    <row r="445" spans="1:3" x14ac:dyDescent="0.3">
      <c r="A445" s="6" t="s">
        <v>444</v>
      </c>
      <c r="B445" s="7">
        <v>4.0168000000000002E-2</v>
      </c>
      <c r="C445" s="7">
        <f t="shared" si="6"/>
        <v>0.84692491857454311</v>
      </c>
    </row>
    <row r="446" spans="1:3" x14ac:dyDescent="0.3">
      <c r="A446" s="6" t="s">
        <v>445</v>
      </c>
      <c r="B446" s="7">
        <v>4.0168000000000002E-2</v>
      </c>
      <c r="C446" s="7">
        <f t="shared" si="6"/>
        <v>0.84692491857454311</v>
      </c>
    </row>
    <row r="447" spans="1:3" x14ac:dyDescent="0.3">
      <c r="A447" s="6" t="s">
        <v>446</v>
      </c>
      <c r="B447" s="7">
        <v>4.0168000000000002E-2</v>
      </c>
      <c r="C447" s="7">
        <f t="shared" si="6"/>
        <v>0.84692491857454311</v>
      </c>
    </row>
    <row r="448" spans="1:3" x14ac:dyDescent="0.3">
      <c r="A448" s="6" t="s">
        <v>447</v>
      </c>
      <c r="B448" s="7">
        <v>4.0168000000000002E-2</v>
      </c>
      <c r="C448" s="7">
        <f t="shared" si="6"/>
        <v>0.84692491857454311</v>
      </c>
    </row>
    <row r="449" spans="1:3" x14ac:dyDescent="0.3">
      <c r="A449" s="6" t="s">
        <v>448</v>
      </c>
      <c r="B449" s="7">
        <v>4.0168000000000002E-2</v>
      </c>
      <c r="C449" s="7">
        <f t="shared" si="6"/>
        <v>0.84692491857454311</v>
      </c>
    </row>
    <row r="450" spans="1:3" x14ac:dyDescent="0.3">
      <c r="A450" s="6" t="s">
        <v>449</v>
      </c>
      <c r="B450" s="7">
        <v>4.0168000000000002E-2</v>
      </c>
      <c r="C450" s="7">
        <f t="shared" si="6"/>
        <v>0.84692491857454311</v>
      </c>
    </row>
    <row r="451" spans="1:3" x14ac:dyDescent="0.3">
      <c r="A451" s="6" t="s">
        <v>450</v>
      </c>
      <c r="B451" s="7">
        <v>4.0168000000000002E-2</v>
      </c>
      <c r="C451" s="7">
        <f t="shared" si="6"/>
        <v>0.84692491857454311</v>
      </c>
    </row>
    <row r="452" spans="1:3" x14ac:dyDescent="0.3">
      <c r="A452" s="6" t="s">
        <v>451</v>
      </c>
      <c r="B452" s="7">
        <v>4.0168000000000002E-2</v>
      </c>
      <c r="C452" s="7">
        <f t="shared" si="6"/>
        <v>0.84692491857454311</v>
      </c>
    </row>
    <row r="453" spans="1:3" x14ac:dyDescent="0.3">
      <c r="A453" s="6" t="s">
        <v>452</v>
      </c>
      <c r="B453" s="7">
        <v>4.0168000000000002E-2</v>
      </c>
      <c r="C453" s="7">
        <f t="shared" si="6"/>
        <v>0.84692491857454311</v>
      </c>
    </row>
    <row r="454" spans="1:3" x14ac:dyDescent="0.3">
      <c r="A454" s="6" t="s">
        <v>453</v>
      </c>
      <c r="B454" s="7">
        <v>4.0168000000000002E-2</v>
      </c>
      <c r="C454" s="7">
        <f t="shared" si="6"/>
        <v>0.84692491857454311</v>
      </c>
    </row>
    <row r="455" spans="1:3" x14ac:dyDescent="0.3">
      <c r="A455" s="6" t="s">
        <v>454</v>
      </c>
      <c r="B455" s="7">
        <v>4.0168000000000002E-2</v>
      </c>
      <c r="C455" s="7">
        <f t="shared" si="6"/>
        <v>0.84692491857454311</v>
      </c>
    </row>
    <row r="456" spans="1:3" x14ac:dyDescent="0.3">
      <c r="A456" s="6" t="s">
        <v>455</v>
      </c>
      <c r="B456" s="7">
        <v>4.0168000000000002E-2</v>
      </c>
      <c r="C456" s="7">
        <f t="shared" ref="C456:C519" si="7">((1+B456/100)^21-1)*100</f>
        <v>0.84692491857454311</v>
      </c>
    </row>
    <row r="457" spans="1:3" x14ac:dyDescent="0.3">
      <c r="A457" s="6" t="s">
        <v>456</v>
      </c>
      <c r="B457" s="7">
        <v>4.0168000000000002E-2</v>
      </c>
      <c r="C457" s="7">
        <f t="shared" si="7"/>
        <v>0.84692491857454311</v>
      </c>
    </row>
    <row r="458" spans="1:3" x14ac:dyDescent="0.3">
      <c r="A458" s="6" t="s">
        <v>457</v>
      </c>
      <c r="B458" s="7">
        <v>4.0168000000000002E-2</v>
      </c>
      <c r="C458" s="7">
        <f t="shared" si="7"/>
        <v>0.84692491857454311</v>
      </c>
    </row>
    <row r="459" spans="1:3" x14ac:dyDescent="0.3">
      <c r="A459" s="6" t="s">
        <v>458</v>
      </c>
      <c r="B459" s="7">
        <v>4.0168000000000002E-2</v>
      </c>
      <c r="C459" s="7">
        <f t="shared" si="7"/>
        <v>0.84692491857454311</v>
      </c>
    </row>
    <row r="460" spans="1:3" x14ac:dyDescent="0.3">
      <c r="A460" s="6" t="s">
        <v>459</v>
      </c>
      <c r="B460" s="7">
        <v>4.0168000000000002E-2</v>
      </c>
      <c r="C460" s="7">
        <f t="shared" si="7"/>
        <v>0.84692491857454311</v>
      </c>
    </row>
    <row r="461" spans="1:3" x14ac:dyDescent="0.3">
      <c r="A461" s="6" t="s">
        <v>460</v>
      </c>
      <c r="B461" s="7">
        <v>4.0168000000000002E-2</v>
      </c>
      <c r="C461" s="7">
        <f t="shared" si="7"/>
        <v>0.84692491857454311</v>
      </c>
    </row>
    <row r="462" spans="1:3" x14ac:dyDescent="0.3">
      <c r="A462" s="6" t="s">
        <v>461</v>
      </c>
      <c r="B462" s="7">
        <v>4.0168000000000002E-2</v>
      </c>
      <c r="C462" s="7">
        <f t="shared" si="7"/>
        <v>0.84692491857454311</v>
      </c>
    </row>
    <row r="463" spans="1:3" x14ac:dyDescent="0.3">
      <c r="A463" s="6" t="s">
        <v>462</v>
      </c>
      <c r="B463" s="7">
        <v>4.0168000000000002E-2</v>
      </c>
      <c r="C463" s="7">
        <f t="shared" si="7"/>
        <v>0.84692491857454311</v>
      </c>
    </row>
    <row r="464" spans="1:3" x14ac:dyDescent="0.3">
      <c r="A464" s="6" t="s">
        <v>463</v>
      </c>
      <c r="B464" s="7">
        <v>4.0168000000000002E-2</v>
      </c>
      <c r="C464" s="7">
        <f t="shared" si="7"/>
        <v>0.84692491857454311</v>
      </c>
    </row>
    <row r="465" spans="1:3" x14ac:dyDescent="0.3">
      <c r="A465" s="6" t="s">
        <v>464</v>
      </c>
      <c r="B465" s="7">
        <v>4.0168000000000002E-2</v>
      </c>
      <c r="C465" s="7">
        <f t="shared" si="7"/>
        <v>0.84692491857454311</v>
      </c>
    </row>
    <row r="466" spans="1:3" x14ac:dyDescent="0.3">
      <c r="A466" s="6" t="s">
        <v>465</v>
      </c>
      <c r="B466" s="7">
        <v>4.0168000000000002E-2</v>
      </c>
      <c r="C466" s="7">
        <f t="shared" si="7"/>
        <v>0.84692491857454311</v>
      </c>
    </row>
    <row r="467" spans="1:3" x14ac:dyDescent="0.3">
      <c r="A467" s="6" t="s">
        <v>466</v>
      </c>
      <c r="B467" s="7">
        <v>4.0168000000000002E-2</v>
      </c>
      <c r="C467" s="7">
        <f t="shared" si="7"/>
        <v>0.84692491857454311</v>
      </c>
    </row>
    <row r="468" spans="1:3" x14ac:dyDescent="0.3">
      <c r="A468" s="6" t="s">
        <v>467</v>
      </c>
      <c r="B468" s="7">
        <v>4.0168000000000002E-2</v>
      </c>
      <c r="C468" s="7">
        <f t="shared" si="7"/>
        <v>0.84692491857454311</v>
      </c>
    </row>
    <row r="469" spans="1:3" x14ac:dyDescent="0.3">
      <c r="A469" s="6" t="s">
        <v>468</v>
      </c>
      <c r="B469" s="7">
        <v>4.0168000000000002E-2</v>
      </c>
      <c r="C469" s="7">
        <f t="shared" si="7"/>
        <v>0.84692491857454311</v>
      </c>
    </row>
    <row r="470" spans="1:3" x14ac:dyDescent="0.3">
      <c r="A470" s="6" t="s">
        <v>469</v>
      </c>
      <c r="B470" s="7">
        <v>4.0168000000000002E-2</v>
      </c>
      <c r="C470" s="7">
        <f t="shared" si="7"/>
        <v>0.84692491857454311</v>
      </c>
    </row>
    <row r="471" spans="1:3" x14ac:dyDescent="0.3">
      <c r="A471" s="6" t="s">
        <v>470</v>
      </c>
      <c r="B471" s="7">
        <v>4.0168000000000002E-2</v>
      </c>
      <c r="C471" s="7">
        <f t="shared" si="7"/>
        <v>0.84692491857454311</v>
      </c>
    </row>
    <row r="472" spans="1:3" x14ac:dyDescent="0.3">
      <c r="A472" s="6" t="s">
        <v>471</v>
      </c>
      <c r="B472" s="7">
        <v>4.0168000000000002E-2</v>
      </c>
      <c r="C472" s="7">
        <f t="shared" si="7"/>
        <v>0.84692491857454311</v>
      </c>
    </row>
    <row r="473" spans="1:3" x14ac:dyDescent="0.3">
      <c r="A473" s="6" t="s">
        <v>472</v>
      </c>
      <c r="B473" s="7">
        <v>4.0168000000000002E-2</v>
      </c>
      <c r="C473" s="7">
        <f t="shared" si="7"/>
        <v>0.84692491857454311</v>
      </c>
    </row>
    <row r="474" spans="1:3" x14ac:dyDescent="0.3">
      <c r="A474" s="6" t="s">
        <v>473</v>
      </c>
      <c r="B474" s="7">
        <v>4.1957000000000001E-2</v>
      </c>
      <c r="C474" s="7">
        <f t="shared" si="7"/>
        <v>0.88480366072685168</v>
      </c>
    </row>
    <row r="475" spans="1:3" x14ac:dyDescent="0.3">
      <c r="A475" s="6" t="s">
        <v>474</v>
      </c>
      <c r="B475" s="7">
        <v>4.1957000000000001E-2</v>
      </c>
      <c r="C475" s="7">
        <f t="shared" si="7"/>
        <v>0.88480366072685168</v>
      </c>
    </row>
    <row r="476" spans="1:3" x14ac:dyDescent="0.3">
      <c r="A476" s="6" t="s">
        <v>475</v>
      </c>
      <c r="B476" s="7">
        <v>4.1957000000000001E-2</v>
      </c>
      <c r="C476" s="7">
        <f t="shared" si="7"/>
        <v>0.88480366072685168</v>
      </c>
    </row>
    <row r="477" spans="1:3" x14ac:dyDescent="0.3">
      <c r="A477" s="6" t="s">
        <v>476</v>
      </c>
      <c r="B477" s="7">
        <v>4.1957000000000001E-2</v>
      </c>
      <c r="C477" s="7">
        <f t="shared" si="7"/>
        <v>0.88480366072685168</v>
      </c>
    </row>
    <row r="478" spans="1:3" x14ac:dyDescent="0.3">
      <c r="A478" s="6" t="s">
        <v>477</v>
      </c>
      <c r="B478" s="7">
        <v>4.1957000000000001E-2</v>
      </c>
      <c r="C478" s="7">
        <f t="shared" si="7"/>
        <v>0.88480366072685168</v>
      </c>
    </row>
    <row r="479" spans="1:3" x14ac:dyDescent="0.3">
      <c r="A479" s="6" t="s">
        <v>478</v>
      </c>
      <c r="B479" s="7">
        <v>4.1957000000000001E-2</v>
      </c>
      <c r="C479" s="7">
        <f t="shared" si="7"/>
        <v>0.88480366072685168</v>
      </c>
    </row>
    <row r="480" spans="1:3" x14ac:dyDescent="0.3">
      <c r="A480" s="6" t="s">
        <v>479</v>
      </c>
      <c r="B480" s="7">
        <v>4.1957000000000001E-2</v>
      </c>
      <c r="C480" s="7">
        <f t="shared" si="7"/>
        <v>0.88480366072685168</v>
      </c>
    </row>
    <row r="481" spans="1:3" x14ac:dyDescent="0.3">
      <c r="A481" s="6" t="s">
        <v>480</v>
      </c>
      <c r="B481" s="7">
        <v>4.1957000000000001E-2</v>
      </c>
      <c r="C481" s="7">
        <f t="shared" si="7"/>
        <v>0.88480366072685168</v>
      </c>
    </row>
    <row r="482" spans="1:3" x14ac:dyDescent="0.3">
      <c r="A482" s="6" t="s">
        <v>481</v>
      </c>
      <c r="B482" s="7">
        <v>4.1957000000000001E-2</v>
      </c>
      <c r="C482" s="7">
        <f t="shared" si="7"/>
        <v>0.88480366072685168</v>
      </c>
    </row>
    <row r="483" spans="1:3" x14ac:dyDescent="0.3">
      <c r="A483" s="6" t="s">
        <v>482</v>
      </c>
      <c r="B483" s="7">
        <v>4.1957000000000001E-2</v>
      </c>
      <c r="C483" s="7">
        <f t="shared" si="7"/>
        <v>0.88480366072685168</v>
      </c>
    </row>
    <row r="484" spans="1:3" x14ac:dyDescent="0.3">
      <c r="A484" s="6" t="s">
        <v>483</v>
      </c>
      <c r="B484" s="7">
        <v>4.1957000000000001E-2</v>
      </c>
      <c r="C484" s="7">
        <f t="shared" si="7"/>
        <v>0.88480366072685168</v>
      </c>
    </row>
    <row r="485" spans="1:3" x14ac:dyDescent="0.3">
      <c r="A485" s="6" t="s">
        <v>484</v>
      </c>
      <c r="B485" s="7">
        <v>4.1957000000000001E-2</v>
      </c>
      <c r="C485" s="7">
        <f t="shared" si="7"/>
        <v>0.88480366072685168</v>
      </c>
    </row>
    <row r="486" spans="1:3" x14ac:dyDescent="0.3">
      <c r="A486" s="6" t="s">
        <v>485</v>
      </c>
      <c r="B486" s="7">
        <v>4.1957000000000001E-2</v>
      </c>
      <c r="C486" s="7">
        <f t="shared" si="7"/>
        <v>0.88480366072685168</v>
      </c>
    </row>
    <row r="487" spans="1:3" x14ac:dyDescent="0.3">
      <c r="A487" s="6" t="s">
        <v>486</v>
      </c>
      <c r="B487" s="7">
        <v>4.1957000000000001E-2</v>
      </c>
      <c r="C487" s="7">
        <f t="shared" si="7"/>
        <v>0.88480366072685168</v>
      </c>
    </row>
    <row r="488" spans="1:3" x14ac:dyDescent="0.3">
      <c r="A488" s="6" t="s">
        <v>487</v>
      </c>
      <c r="B488" s="7">
        <v>4.1957000000000001E-2</v>
      </c>
      <c r="C488" s="7">
        <f t="shared" si="7"/>
        <v>0.88480366072685168</v>
      </c>
    </row>
    <row r="489" spans="1:3" x14ac:dyDescent="0.3">
      <c r="A489" s="6" t="s">
        <v>488</v>
      </c>
      <c r="B489" s="7">
        <v>4.1957000000000001E-2</v>
      </c>
      <c r="C489" s="7">
        <f t="shared" si="7"/>
        <v>0.88480366072685168</v>
      </c>
    </row>
    <row r="490" spans="1:3" x14ac:dyDescent="0.3">
      <c r="A490" s="6" t="s">
        <v>489</v>
      </c>
      <c r="B490" s="7">
        <v>4.1957000000000001E-2</v>
      </c>
      <c r="C490" s="7">
        <f t="shared" si="7"/>
        <v>0.88480366072685168</v>
      </c>
    </row>
    <row r="491" spans="1:3" x14ac:dyDescent="0.3">
      <c r="A491" s="6" t="s">
        <v>490</v>
      </c>
      <c r="B491" s="7">
        <v>4.1957000000000001E-2</v>
      </c>
      <c r="C491" s="7">
        <f t="shared" si="7"/>
        <v>0.88480366072685168</v>
      </c>
    </row>
    <row r="492" spans="1:3" x14ac:dyDescent="0.3">
      <c r="A492" s="6" t="s">
        <v>491</v>
      </c>
      <c r="B492" s="7">
        <v>4.1957000000000001E-2</v>
      </c>
      <c r="C492" s="7">
        <f t="shared" si="7"/>
        <v>0.88480366072685168</v>
      </c>
    </row>
    <row r="493" spans="1:3" x14ac:dyDescent="0.3">
      <c r="A493" s="6" t="s">
        <v>492</v>
      </c>
      <c r="B493" s="7">
        <v>4.1957000000000001E-2</v>
      </c>
      <c r="C493" s="7">
        <f t="shared" si="7"/>
        <v>0.88480366072685168</v>
      </c>
    </row>
    <row r="494" spans="1:3" x14ac:dyDescent="0.3">
      <c r="A494" s="6" t="s">
        <v>493</v>
      </c>
      <c r="B494" s="7">
        <v>4.1957000000000001E-2</v>
      </c>
      <c r="C494" s="7">
        <f t="shared" si="7"/>
        <v>0.88480366072685168</v>
      </c>
    </row>
    <row r="495" spans="1:3" x14ac:dyDescent="0.3">
      <c r="A495" s="6" t="s">
        <v>494</v>
      </c>
      <c r="B495" s="7">
        <v>4.1957000000000001E-2</v>
      </c>
      <c r="C495" s="7">
        <f t="shared" si="7"/>
        <v>0.88480366072685168</v>
      </c>
    </row>
    <row r="496" spans="1:3" x14ac:dyDescent="0.3">
      <c r="A496" s="6" t="s">
        <v>495</v>
      </c>
      <c r="B496" s="7">
        <v>4.1957000000000001E-2</v>
      </c>
      <c r="C496" s="7">
        <f t="shared" si="7"/>
        <v>0.88480366072685168</v>
      </c>
    </row>
    <row r="497" spans="1:3" x14ac:dyDescent="0.3">
      <c r="A497" s="6" t="s">
        <v>496</v>
      </c>
      <c r="B497" s="7">
        <v>4.5512999999999998E-2</v>
      </c>
      <c r="C497" s="7">
        <f t="shared" si="7"/>
        <v>0.9601355742345774</v>
      </c>
    </row>
    <row r="498" spans="1:3" x14ac:dyDescent="0.3">
      <c r="A498" s="6" t="s">
        <v>497</v>
      </c>
      <c r="B498" s="7">
        <v>4.5512999999999998E-2</v>
      </c>
      <c r="C498" s="7">
        <f t="shared" si="7"/>
        <v>0.9601355742345774</v>
      </c>
    </row>
    <row r="499" spans="1:3" x14ac:dyDescent="0.3">
      <c r="A499" s="6" t="s">
        <v>498</v>
      </c>
      <c r="B499" s="7">
        <v>4.5512999999999998E-2</v>
      </c>
      <c r="C499" s="7">
        <f t="shared" si="7"/>
        <v>0.9601355742345774</v>
      </c>
    </row>
    <row r="500" spans="1:3" x14ac:dyDescent="0.3">
      <c r="A500" s="6" t="s">
        <v>499</v>
      </c>
      <c r="B500" s="7">
        <v>4.5512999999999998E-2</v>
      </c>
      <c r="C500" s="7">
        <f t="shared" si="7"/>
        <v>0.9601355742345774</v>
      </c>
    </row>
    <row r="501" spans="1:3" x14ac:dyDescent="0.3">
      <c r="A501" s="6" t="s">
        <v>500</v>
      </c>
      <c r="B501" s="7">
        <v>4.5512999999999998E-2</v>
      </c>
      <c r="C501" s="7">
        <f t="shared" si="7"/>
        <v>0.9601355742345774</v>
      </c>
    </row>
    <row r="502" spans="1:3" x14ac:dyDescent="0.3">
      <c r="A502" s="6" t="s">
        <v>501</v>
      </c>
      <c r="B502" s="7">
        <v>4.5512999999999998E-2</v>
      </c>
      <c r="C502" s="7">
        <f t="shared" si="7"/>
        <v>0.9601355742345774</v>
      </c>
    </row>
    <row r="503" spans="1:3" x14ac:dyDescent="0.3">
      <c r="A503" s="6" t="s">
        <v>502</v>
      </c>
      <c r="B503" s="7">
        <v>4.5512999999999998E-2</v>
      </c>
      <c r="C503" s="7">
        <f t="shared" si="7"/>
        <v>0.9601355742345774</v>
      </c>
    </row>
    <row r="504" spans="1:3" x14ac:dyDescent="0.3">
      <c r="A504" s="6" t="s">
        <v>503</v>
      </c>
      <c r="B504" s="7">
        <v>4.5512999999999998E-2</v>
      </c>
      <c r="C504" s="7">
        <f t="shared" si="7"/>
        <v>0.9601355742345774</v>
      </c>
    </row>
    <row r="505" spans="1:3" x14ac:dyDescent="0.3">
      <c r="A505" s="6" t="s">
        <v>504</v>
      </c>
      <c r="B505" s="7">
        <v>4.5512999999999998E-2</v>
      </c>
      <c r="C505" s="7">
        <f t="shared" si="7"/>
        <v>0.9601355742345774</v>
      </c>
    </row>
    <row r="506" spans="1:3" x14ac:dyDescent="0.3">
      <c r="A506" s="6" t="s">
        <v>505</v>
      </c>
      <c r="B506" s="7">
        <v>4.5512999999999998E-2</v>
      </c>
      <c r="C506" s="7">
        <f t="shared" si="7"/>
        <v>0.9601355742345774</v>
      </c>
    </row>
    <row r="507" spans="1:3" x14ac:dyDescent="0.3">
      <c r="A507" s="6" t="s">
        <v>506</v>
      </c>
      <c r="B507" s="7">
        <v>4.5512999999999998E-2</v>
      </c>
      <c r="C507" s="7">
        <f t="shared" si="7"/>
        <v>0.9601355742345774</v>
      </c>
    </row>
    <row r="508" spans="1:3" x14ac:dyDescent="0.3">
      <c r="A508" s="6" t="s">
        <v>507</v>
      </c>
      <c r="B508" s="7">
        <v>4.5512999999999998E-2</v>
      </c>
      <c r="C508" s="7">
        <f t="shared" si="7"/>
        <v>0.9601355742345774</v>
      </c>
    </row>
    <row r="509" spans="1:3" x14ac:dyDescent="0.3">
      <c r="A509" s="6" t="s">
        <v>508</v>
      </c>
      <c r="B509" s="7">
        <v>4.5512999999999998E-2</v>
      </c>
      <c r="C509" s="7">
        <f t="shared" si="7"/>
        <v>0.9601355742345774</v>
      </c>
    </row>
    <row r="510" spans="1:3" x14ac:dyDescent="0.3">
      <c r="A510" s="6" t="s">
        <v>509</v>
      </c>
      <c r="B510" s="7">
        <v>4.5512999999999998E-2</v>
      </c>
      <c r="C510" s="7">
        <f t="shared" si="7"/>
        <v>0.9601355742345774</v>
      </c>
    </row>
    <row r="511" spans="1:3" x14ac:dyDescent="0.3">
      <c r="A511" s="6" t="s">
        <v>510</v>
      </c>
      <c r="B511" s="7">
        <v>4.5512999999999998E-2</v>
      </c>
      <c r="C511" s="7">
        <f t="shared" si="7"/>
        <v>0.9601355742345774</v>
      </c>
    </row>
    <row r="512" spans="1:3" x14ac:dyDescent="0.3">
      <c r="A512" s="6" t="s">
        <v>511</v>
      </c>
      <c r="B512" s="7">
        <v>4.5512999999999998E-2</v>
      </c>
      <c r="C512" s="7">
        <f t="shared" si="7"/>
        <v>0.9601355742345774</v>
      </c>
    </row>
    <row r="513" spans="1:3" x14ac:dyDescent="0.3">
      <c r="A513" s="6" t="s">
        <v>512</v>
      </c>
      <c r="B513" s="7">
        <v>4.5512999999999998E-2</v>
      </c>
      <c r="C513" s="7">
        <f t="shared" si="7"/>
        <v>0.9601355742345774</v>
      </c>
    </row>
    <row r="514" spans="1:3" x14ac:dyDescent="0.3">
      <c r="A514" s="6" t="s">
        <v>513</v>
      </c>
      <c r="B514" s="7">
        <v>4.5512999999999998E-2</v>
      </c>
      <c r="C514" s="7">
        <f t="shared" si="7"/>
        <v>0.9601355742345774</v>
      </c>
    </row>
    <row r="515" spans="1:3" x14ac:dyDescent="0.3">
      <c r="A515" s="6" t="s">
        <v>514</v>
      </c>
      <c r="B515" s="7">
        <v>4.5512999999999998E-2</v>
      </c>
      <c r="C515" s="7">
        <f t="shared" si="7"/>
        <v>0.9601355742345774</v>
      </c>
    </row>
    <row r="516" spans="1:3" x14ac:dyDescent="0.3">
      <c r="A516" s="6" t="s">
        <v>515</v>
      </c>
      <c r="B516" s="7">
        <v>4.5512999999999998E-2</v>
      </c>
      <c r="C516" s="7">
        <f t="shared" si="7"/>
        <v>0.9601355742345774</v>
      </c>
    </row>
    <row r="517" spans="1:3" x14ac:dyDescent="0.3">
      <c r="A517" s="6" t="s">
        <v>516</v>
      </c>
      <c r="B517" s="7">
        <v>4.5512999999999998E-2</v>
      </c>
      <c r="C517" s="7">
        <f t="shared" si="7"/>
        <v>0.9601355742345774</v>
      </c>
    </row>
    <row r="518" spans="1:3" x14ac:dyDescent="0.3">
      <c r="A518" s="6" t="s">
        <v>517</v>
      </c>
      <c r="B518" s="7">
        <v>4.5512999999999998E-2</v>
      </c>
      <c r="C518" s="7">
        <f t="shared" si="7"/>
        <v>0.9601355742345774</v>
      </c>
    </row>
    <row r="519" spans="1:3" x14ac:dyDescent="0.3">
      <c r="A519" s="6" t="s">
        <v>518</v>
      </c>
      <c r="B519" s="7">
        <v>4.5512999999999998E-2</v>
      </c>
      <c r="C519" s="7">
        <f t="shared" si="7"/>
        <v>0.9601355742345774</v>
      </c>
    </row>
    <row r="520" spans="1:3" x14ac:dyDescent="0.3">
      <c r="A520" s="6" t="s">
        <v>519</v>
      </c>
      <c r="B520" s="7">
        <v>4.5512999999999998E-2</v>
      </c>
      <c r="C520" s="7">
        <f t="shared" ref="C520:C583" si="8">((1+B520/100)^21-1)*100</f>
        <v>0.9601355742345774</v>
      </c>
    </row>
    <row r="521" spans="1:3" x14ac:dyDescent="0.3">
      <c r="A521" s="6" t="s">
        <v>520</v>
      </c>
      <c r="B521" s="7">
        <v>4.5512999999999998E-2</v>
      </c>
      <c r="C521" s="7">
        <f t="shared" si="8"/>
        <v>0.9601355742345774</v>
      </c>
    </row>
    <row r="522" spans="1:3" x14ac:dyDescent="0.3">
      <c r="A522" s="6" t="s">
        <v>521</v>
      </c>
      <c r="B522" s="7">
        <v>4.5512999999999998E-2</v>
      </c>
      <c r="C522" s="7">
        <f t="shared" si="8"/>
        <v>0.9601355742345774</v>
      </c>
    </row>
    <row r="523" spans="1:3" x14ac:dyDescent="0.3">
      <c r="A523" s="6" t="s">
        <v>522</v>
      </c>
      <c r="B523" s="7">
        <v>4.5512999999999998E-2</v>
      </c>
      <c r="C523" s="7">
        <f t="shared" si="8"/>
        <v>0.9601355742345774</v>
      </c>
    </row>
    <row r="524" spans="1:3" x14ac:dyDescent="0.3">
      <c r="A524" s="6" t="s">
        <v>523</v>
      </c>
      <c r="B524" s="7">
        <v>4.5512999999999998E-2</v>
      </c>
      <c r="C524" s="7">
        <f t="shared" si="8"/>
        <v>0.9601355742345774</v>
      </c>
    </row>
    <row r="525" spans="1:3" x14ac:dyDescent="0.3">
      <c r="A525" s="6" t="s">
        <v>524</v>
      </c>
      <c r="B525" s="7">
        <v>4.5512999999999998E-2</v>
      </c>
      <c r="C525" s="7">
        <f t="shared" si="8"/>
        <v>0.9601355742345774</v>
      </c>
    </row>
    <row r="526" spans="1:3" x14ac:dyDescent="0.3">
      <c r="A526" s="6" t="s">
        <v>525</v>
      </c>
      <c r="B526" s="7">
        <v>4.5512999999999998E-2</v>
      </c>
      <c r="C526" s="7">
        <f t="shared" si="8"/>
        <v>0.9601355742345774</v>
      </c>
    </row>
    <row r="527" spans="1:3" x14ac:dyDescent="0.3">
      <c r="A527" s="6" t="s">
        <v>526</v>
      </c>
      <c r="B527" s="7">
        <v>4.5512999999999998E-2</v>
      </c>
      <c r="C527" s="7">
        <f t="shared" si="8"/>
        <v>0.9601355742345774</v>
      </c>
    </row>
    <row r="528" spans="1:3" x14ac:dyDescent="0.3">
      <c r="A528" s="6" t="s">
        <v>527</v>
      </c>
      <c r="B528" s="7">
        <v>4.5512999999999998E-2</v>
      </c>
      <c r="C528" s="7">
        <f t="shared" si="8"/>
        <v>0.9601355742345774</v>
      </c>
    </row>
    <row r="529" spans="1:3" x14ac:dyDescent="0.3">
      <c r="A529" s="6" t="s">
        <v>528</v>
      </c>
      <c r="B529" s="7">
        <v>4.5512999999999998E-2</v>
      </c>
      <c r="C529" s="7">
        <f t="shared" si="8"/>
        <v>0.9601355742345774</v>
      </c>
    </row>
    <row r="530" spans="1:3" x14ac:dyDescent="0.3">
      <c r="A530" s="6" t="s">
        <v>529</v>
      </c>
      <c r="B530" s="7">
        <v>4.9036999999999997E-2</v>
      </c>
      <c r="C530" s="7">
        <f t="shared" si="8"/>
        <v>1.0348424349291063</v>
      </c>
    </row>
    <row r="531" spans="1:3" x14ac:dyDescent="0.3">
      <c r="A531" s="6" t="s">
        <v>530</v>
      </c>
      <c r="B531" s="7">
        <v>4.9036999999999997E-2</v>
      </c>
      <c r="C531" s="7">
        <f t="shared" si="8"/>
        <v>1.0348424349291063</v>
      </c>
    </row>
    <row r="532" spans="1:3" x14ac:dyDescent="0.3">
      <c r="A532" s="6" t="s">
        <v>531</v>
      </c>
      <c r="B532" s="7">
        <v>4.9036999999999997E-2</v>
      </c>
      <c r="C532" s="7">
        <f t="shared" si="8"/>
        <v>1.0348424349291063</v>
      </c>
    </row>
    <row r="533" spans="1:3" x14ac:dyDescent="0.3">
      <c r="A533" s="6" t="s">
        <v>532</v>
      </c>
      <c r="B533" s="7">
        <v>4.9036999999999997E-2</v>
      </c>
      <c r="C533" s="7">
        <f t="shared" si="8"/>
        <v>1.0348424349291063</v>
      </c>
    </row>
    <row r="534" spans="1:3" x14ac:dyDescent="0.3">
      <c r="A534" s="6" t="s">
        <v>533</v>
      </c>
      <c r="B534" s="7">
        <v>4.9036999999999997E-2</v>
      </c>
      <c r="C534" s="7">
        <f t="shared" si="8"/>
        <v>1.0348424349291063</v>
      </c>
    </row>
    <row r="535" spans="1:3" x14ac:dyDescent="0.3">
      <c r="A535" s="6" t="s">
        <v>534</v>
      </c>
      <c r="B535" s="7">
        <v>4.9036999999999997E-2</v>
      </c>
      <c r="C535" s="7">
        <f t="shared" si="8"/>
        <v>1.0348424349291063</v>
      </c>
    </row>
    <row r="536" spans="1:3" x14ac:dyDescent="0.3">
      <c r="A536" s="6" t="s">
        <v>535</v>
      </c>
      <c r="B536" s="7">
        <v>4.9036999999999997E-2</v>
      </c>
      <c r="C536" s="7">
        <f t="shared" si="8"/>
        <v>1.0348424349291063</v>
      </c>
    </row>
    <row r="537" spans="1:3" x14ac:dyDescent="0.3">
      <c r="A537" s="6" t="s">
        <v>536</v>
      </c>
      <c r="B537" s="7">
        <v>4.9036999999999997E-2</v>
      </c>
      <c r="C537" s="7">
        <f t="shared" si="8"/>
        <v>1.0348424349291063</v>
      </c>
    </row>
    <row r="538" spans="1:3" x14ac:dyDescent="0.3">
      <c r="A538" s="6" t="s">
        <v>537</v>
      </c>
      <c r="B538" s="7">
        <v>4.9036999999999997E-2</v>
      </c>
      <c r="C538" s="7">
        <f t="shared" si="8"/>
        <v>1.0348424349291063</v>
      </c>
    </row>
    <row r="539" spans="1:3" x14ac:dyDescent="0.3">
      <c r="A539" s="6" t="s">
        <v>538</v>
      </c>
      <c r="B539" s="7">
        <v>4.9036999999999997E-2</v>
      </c>
      <c r="C539" s="7">
        <f t="shared" si="8"/>
        <v>1.0348424349291063</v>
      </c>
    </row>
    <row r="540" spans="1:3" x14ac:dyDescent="0.3">
      <c r="A540" s="6" t="s">
        <v>539</v>
      </c>
      <c r="B540" s="7">
        <v>4.9036999999999997E-2</v>
      </c>
      <c r="C540" s="7">
        <f t="shared" si="8"/>
        <v>1.0348424349291063</v>
      </c>
    </row>
    <row r="541" spans="1:3" x14ac:dyDescent="0.3">
      <c r="A541" s="6" t="s">
        <v>540</v>
      </c>
      <c r="B541" s="7">
        <v>4.9036999999999997E-2</v>
      </c>
      <c r="C541" s="7">
        <f t="shared" si="8"/>
        <v>1.0348424349291063</v>
      </c>
    </row>
    <row r="542" spans="1:3" x14ac:dyDescent="0.3">
      <c r="A542" s="6" t="s">
        <v>541</v>
      </c>
      <c r="B542" s="7">
        <v>4.9036999999999997E-2</v>
      </c>
      <c r="C542" s="7">
        <f t="shared" si="8"/>
        <v>1.0348424349291063</v>
      </c>
    </row>
    <row r="543" spans="1:3" x14ac:dyDescent="0.3">
      <c r="A543" s="6" t="s">
        <v>542</v>
      </c>
      <c r="B543" s="7">
        <v>4.9036999999999997E-2</v>
      </c>
      <c r="C543" s="7">
        <f t="shared" si="8"/>
        <v>1.0348424349291063</v>
      </c>
    </row>
    <row r="544" spans="1:3" x14ac:dyDescent="0.3">
      <c r="A544" s="6" t="s">
        <v>543</v>
      </c>
      <c r="B544" s="7">
        <v>4.9036999999999997E-2</v>
      </c>
      <c r="C544" s="7">
        <f t="shared" si="8"/>
        <v>1.0348424349291063</v>
      </c>
    </row>
    <row r="545" spans="1:3" x14ac:dyDescent="0.3">
      <c r="A545" s="6" t="s">
        <v>544</v>
      </c>
      <c r="B545" s="7">
        <v>4.9036999999999997E-2</v>
      </c>
      <c r="C545" s="7">
        <f t="shared" si="8"/>
        <v>1.0348424349291063</v>
      </c>
    </row>
    <row r="546" spans="1:3" x14ac:dyDescent="0.3">
      <c r="A546" s="6" t="s">
        <v>545</v>
      </c>
      <c r="B546" s="7">
        <v>4.9036999999999997E-2</v>
      </c>
      <c r="C546" s="7">
        <f t="shared" si="8"/>
        <v>1.0348424349291063</v>
      </c>
    </row>
    <row r="547" spans="1:3" x14ac:dyDescent="0.3">
      <c r="A547" s="6" t="s">
        <v>546</v>
      </c>
      <c r="B547" s="7">
        <v>4.9036999999999997E-2</v>
      </c>
      <c r="C547" s="7">
        <f t="shared" si="8"/>
        <v>1.0348424349291063</v>
      </c>
    </row>
    <row r="548" spans="1:3" x14ac:dyDescent="0.3">
      <c r="A548" s="6" t="s">
        <v>547</v>
      </c>
      <c r="B548" s="7">
        <v>4.9036999999999997E-2</v>
      </c>
      <c r="C548" s="7">
        <f t="shared" si="8"/>
        <v>1.0348424349291063</v>
      </c>
    </row>
    <row r="549" spans="1:3" x14ac:dyDescent="0.3">
      <c r="A549" s="6" t="s">
        <v>548</v>
      </c>
      <c r="B549" s="7">
        <v>4.9036999999999997E-2</v>
      </c>
      <c r="C549" s="7">
        <f t="shared" si="8"/>
        <v>1.0348424349291063</v>
      </c>
    </row>
    <row r="550" spans="1:3" x14ac:dyDescent="0.3">
      <c r="A550" s="6" t="s">
        <v>549</v>
      </c>
      <c r="B550" s="7">
        <v>4.9036999999999997E-2</v>
      </c>
      <c r="C550" s="7">
        <f t="shared" si="8"/>
        <v>1.0348424349291063</v>
      </c>
    </row>
    <row r="551" spans="1:3" x14ac:dyDescent="0.3">
      <c r="A551" s="6" t="s">
        <v>550</v>
      </c>
      <c r="B551" s="7">
        <v>4.9036999999999997E-2</v>
      </c>
      <c r="C551" s="7">
        <f t="shared" si="8"/>
        <v>1.0348424349291063</v>
      </c>
    </row>
    <row r="552" spans="1:3" x14ac:dyDescent="0.3">
      <c r="A552" s="6" t="s">
        <v>551</v>
      </c>
      <c r="B552" s="7">
        <v>4.9036999999999997E-2</v>
      </c>
      <c r="C552" s="7">
        <f t="shared" si="8"/>
        <v>1.0348424349291063</v>
      </c>
    </row>
    <row r="553" spans="1:3" x14ac:dyDescent="0.3">
      <c r="A553" s="6" t="s">
        <v>552</v>
      </c>
      <c r="B553" s="7">
        <v>4.9036999999999997E-2</v>
      </c>
      <c r="C553" s="7">
        <f t="shared" si="8"/>
        <v>1.0348424349291063</v>
      </c>
    </row>
    <row r="554" spans="1:3" x14ac:dyDescent="0.3">
      <c r="A554" s="6" t="s">
        <v>553</v>
      </c>
      <c r="B554" s="7">
        <v>4.9036999999999997E-2</v>
      </c>
      <c r="C554" s="7">
        <f t="shared" si="8"/>
        <v>1.0348424349291063</v>
      </c>
    </row>
    <row r="555" spans="1:3" x14ac:dyDescent="0.3">
      <c r="A555" s="6" t="s">
        <v>554</v>
      </c>
      <c r="B555" s="7">
        <v>4.9036999999999997E-2</v>
      </c>
      <c r="C555" s="7">
        <f t="shared" si="8"/>
        <v>1.0348424349291063</v>
      </c>
    </row>
    <row r="556" spans="1:3" x14ac:dyDescent="0.3">
      <c r="A556" s="6" t="s">
        <v>555</v>
      </c>
      <c r="B556" s="7">
        <v>4.9036999999999997E-2</v>
      </c>
      <c r="C556" s="7">
        <f t="shared" si="8"/>
        <v>1.0348424349291063</v>
      </c>
    </row>
    <row r="557" spans="1:3" x14ac:dyDescent="0.3">
      <c r="A557" s="6" t="s">
        <v>556</v>
      </c>
      <c r="B557" s="7">
        <v>4.9036999999999997E-2</v>
      </c>
      <c r="C557" s="7">
        <f t="shared" si="8"/>
        <v>1.0348424349291063</v>
      </c>
    </row>
    <row r="558" spans="1:3" x14ac:dyDescent="0.3">
      <c r="A558" s="6" t="s">
        <v>557</v>
      </c>
      <c r="B558" s="7">
        <v>4.9036999999999997E-2</v>
      </c>
      <c r="C558" s="7">
        <f t="shared" si="8"/>
        <v>1.0348424349291063</v>
      </c>
    </row>
    <row r="559" spans="1:3" x14ac:dyDescent="0.3">
      <c r="A559" s="6" t="s">
        <v>558</v>
      </c>
      <c r="B559" s="7">
        <v>4.9036999999999997E-2</v>
      </c>
      <c r="C559" s="7">
        <f t="shared" si="8"/>
        <v>1.0348424349291063</v>
      </c>
    </row>
    <row r="560" spans="1:3" x14ac:dyDescent="0.3">
      <c r="A560" s="6" t="s">
        <v>559</v>
      </c>
      <c r="B560" s="7">
        <v>4.9036999999999997E-2</v>
      </c>
      <c r="C560" s="7">
        <f t="shared" si="8"/>
        <v>1.0348424349291063</v>
      </c>
    </row>
    <row r="561" spans="1:3" x14ac:dyDescent="0.3">
      <c r="A561" s="6" t="s">
        <v>560</v>
      </c>
      <c r="B561" s="7">
        <v>4.9036999999999997E-2</v>
      </c>
      <c r="C561" s="7">
        <f t="shared" si="8"/>
        <v>1.0348424349291063</v>
      </c>
    </row>
    <row r="562" spans="1:3" x14ac:dyDescent="0.3">
      <c r="A562" s="6" t="s">
        <v>561</v>
      </c>
      <c r="B562" s="7">
        <v>4.9036999999999997E-2</v>
      </c>
      <c r="C562" s="7">
        <f t="shared" si="8"/>
        <v>1.0348424349291063</v>
      </c>
    </row>
    <row r="563" spans="1:3" x14ac:dyDescent="0.3">
      <c r="A563" s="6" t="s">
        <v>562</v>
      </c>
      <c r="B563" s="7">
        <v>5.2531000000000001E-2</v>
      </c>
      <c r="C563" s="7">
        <f t="shared" si="8"/>
        <v>1.1089652878024658</v>
      </c>
    </row>
    <row r="564" spans="1:3" x14ac:dyDescent="0.3">
      <c r="A564" s="6" t="s">
        <v>563</v>
      </c>
      <c r="B564" s="7">
        <v>5.2531000000000001E-2</v>
      </c>
      <c r="C564" s="7">
        <f t="shared" si="8"/>
        <v>1.1089652878024658</v>
      </c>
    </row>
    <row r="565" spans="1:3" x14ac:dyDescent="0.3">
      <c r="A565" s="6" t="s">
        <v>564</v>
      </c>
      <c r="B565" s="7">
        <v>5.2531000000000001E-2</v>
      </c>
      <c r="C565" s="7">
        <f t="shared" si="8"/>
        <v>1.1089652878024658</v>
      </c>
    </row>
    <row r="566" spans="1:3" x14ac:dyDescent="0.3">
      <c r="A566" s="6" t="s">
        <v>565</v>
      </c>
      <c r="B566" s="7">
        <v>5.2531000000000001E-2</v>
      </c>
      <c r="C566" s="7">
        <f t="shared" si="8"/>
        <v>1.1089652878024658</v>
      </c>
    </row>
    <row r="567" spans="1:3" x14ac:dyDescent="0.3">
      <c r="A567" s="6" t="s">
        <v>566</v>
      </c>
      <c r="B567" s="7">
        <v>5.2531000000000001E-2</v>
      </c>
      <c r="C567" s="7">
        <f t="shared" si="8"/>
        <v>1.1089652878024658</v>
      </c>
    </row>
    <row r="568" spans="1:3" x14ac:dyDescent="0.3">
      <c r="A568" s="6" t="s">
        <v>567</v>
      </c>
      <c r="B568" s="7">
        <v>5.2531000000000001E-2</v>
      </c>
      <c r="C568" s="7">
        <f t="shared" si="8"/>
        <v>1.1089652878024658</v>
      </c>
    </row>
    <row r="569" spans="1:3" x14ac:dyDescent="0.3">
      <c r="A569" s="6" t="s">
        <v>568</v>
      </c>
      <c r="B569" s="7">
        <v>5.2531000000000001E-2</v>
      </c>
      <c r="C569" s="7">
        <f t="shared" si="8"/>
        <v>1.1089652878024658</v>
      </c>
    </row>
    <row r="570" spans="1:3" x14ac:dyDescent="0.3">
      <c r="A570" s="6" t="s">
        <v>569</v>
      </c>
      <c r="B570" s="7">
        <v>5.2531000000000001E-2</v>
      </c>
      <c r="C570" s="7">
        <f t="shared" si="8"/>
        <v>1.1089652878024658</v>
      </c>
    </row>
    <row r="571" spans="1:3" x14ac:dyDescent="0.3">
      <c r="A571" s="6" t="s">
        <v>570</v>
      </c>
      <c r="B571" s="7">
        <v>5.2531000000000001E-2</v>
      </c>
      <c r="C571" s="7">
        <f t="shared" si="8"/>
        <v>1.1089652878024658</v>
      </c>
    </row>
    <row r="572" spans="1:3" x14ac:dyDescent="0.3">
      <c r="A572" s="6" t="s">
        <v>571</v>
      </c>
      <c r="B572" s="7">
        <v>5.2531000000000001E-2</v>
      </c>
      <c r="C572" s="7">
        <f t="shared" si="8"/>
        <v>1.1089652878024658</v>
      </c>
    </row>
    <row r="573" spans="1:3" x14ac:dyDescent="0.3">
      <c r="A573" s="6" t="s">
        <v>572</v>
      </c>
      <c r="B573" s="7">
        <v>5.2531000000000001E-2</v>
      </c>
      <c r="C573" s="7">
        <f t="shared" si="8"/>
        <v>1.1089652878024658</v>
      </c>
    </row>
    <row r="574" spans="1:3" x14ac:dyDescent="0.3">
      <c r="A574" s="6" t="s">
        <v>573</v>
      </c>
      <c r="B574" s="7">
        <v>5.2531000000000001E-2</v>
      </c>
      <c r="C574" s="7">
        <f t="shared" si="8"/>
        <v>1.1089652878024658</v>
      </c>
    </row>
    <row r="575" spans="1:3" x14ac:dyDescent="0.3">
      <c r="A575" s="6" t="s">
        <v>574</v>
      </c>
      <c r="B575" s="7">
        <v>5.2531000000000001E-2</v>
      </c>
      <c r="C575" s="7">
        <f t="shared" si="8"/>
        <v>1.1089652878024658</v>
      </c>
    </row>
    <row r="576" spans="1:3" x14ac:dyDescent="0.3">
      <c r="A576" s="6" t="s">
        <v>575</v>
      </c>
      <c r="B576" s="7">
        <v>5.2531000000000001E-2</v>
      </c>
      <c r="C576" s="7">
        <f t="shared" si="8"/>
        <v>1.1089652878024658</v>
      </c>
    </row>
    <row r="577" spans="1:3" x14ac:dyDescent="0.3">
      <c r="A577" s="6" t="s">
        <v>576</v>
      </c>
      <c r="B577" s="7">
        <v>5.2531000000000001E-2</v>
      </c>
      <c r="C577" s="7">
        <f t="shared" si="8"/>
        <v>1.1089652878024658</v>
      </c>
    </row>
    <row r="578" spans="1:3" x14ac:dyDescent="0.3">
      <c r="A578" s="6" t="s">
        <v>577</v>
      </c>
      <c r="B578" s="7">
        <v>5.2531000000000001E-2</v>
      </c>
      <c r="C578" s="7">
        <f t="shared" si="8"/>
        <v>1.1089652878024658</v>
      </c>
    </row>
    <row r="579" spans="1:3" x14ac:dyDescent="0.3">
      <c r="A579" s="6" t="s">
        <v>578</v>
      </c>
      <c r="B579" s="7">
        <v>5.2531000000000001E-2</v>
      </c>
      <c r="C579" s="7">
        <f t="shared" si="8"/>
        <v>1.1089652878024658</v>
      </c>
    </row>
    <row r="580" spans="1:3" x14ac:dyDescent="0.3">
      <c r="A580" s="6" t="s">
        <v>579</v>
      </c>
      <c r="B580" s="7">
        <v>5.2531000000000001E-2</v>
      </c>
      <c r="C580" s="7">
        <f t="shared" si="8"/>
        <v>1.1089652878024658</v>
      </c>
    </row>
    <row r="581" spans="1:3" x14ac:dyDescent="0.3">
      <c r="A581" s="6" t="s">
        <v>580</v>
      </c>
      <c r="B581" s="7">
        <v>5.2531000000000001E-2</v>
      </c>
      <c r="C581" s="7">
        <f t="shared" si="8"/>
        <v>1.1089652878024658</v>
      </c>
    </row>
    <row r="582" spans="1:3" x14ac:dyDescent="0.3">
      <c r="A582" s="6" t="s">
        <v>581</v>
      </c>
      <c r="B582" s="7">
        <v>5.2531000000000001E-2</v>
      </c>
      <c r="C582" s="7">
        <f t="shared" si="8"/>
        <v>1.1089652878024658</v>
      </c>
    </row>
    <row r="583" spans="1:3" x14ac:dyDescent="0.3">
      <c r="A583" s="6" t="s">
        <v>582</v>
      </c>
      <c r="B583" s="7">
        <v>5.2531000000000001E-2</v>
      </c>
      <c r="C583" s="7">
        <f t="shared" si="8"/>
        <v>1.1089652878024658</v>
      </c>
    </row>
    <row r="584" spans="1:3" x14ac:dyDescent="0.3">
      <c r="A584" s="6" t="s">
        <v>583</v>
      </c>
      <c r="B584" s="7">
        <v>5.2531000000000001E-2</v>
      </c>
      <c r="C584" s="7">
        <f t="shared" ref="C584:C647" si="9">((1+B584/100)^21-1)*100</f>
        <v>1.1089652878024658</v>
      </c>
    </row>
    <row r="585" spans="1:3" x14ac:dyDescent="0.3">
      <c r="A585" s="6" t="s">
        <v>584</v>
      </c>
      <c r="B585" s="7">
        <v>5.2531000000000001E-2</v>
      </c>
      <c r="C585" s="7">
        <f t="shared" si="9"/>
        <v>1.1089652878024658</v>
      </c>
    </row>
    <row r="586" spans="1:3" x14ac:dyDescent="0.3">
      <c r="A586" s="6" t="s">
        <v>585</v>
      </c>
      <c r="B586" s="7">
        <v>5.2531000000000001E-2</v>
      </c>
      <c r="C586" s="7">
        <f t="shared" si="9"/>
        <v>1.1089652878024658</v>
      </c>
    </row>
    <row r="587" spans="1:3" x14ac:dyDescent="0.3">
      <c r="A587" s="6" t="s">
        <v>586</v>
      </c>
      <c r="B587" s="7">
        <v>5.2531000000000001E-2</v>
      </c>
      <c r="C587" s="7">
        <f t="shared" si="9"/>
        <v>1.1089652878024658</v>
      </c>
    </row>
    <row r="588" spans="1:3" x14ac:dyDescent="0.3">
      <c r="A588" s="6" t="s">
        <v>587</v>
      </c>
      <c r="B588" s="7">
        <v>5.2531000000000001E-2</v>
      </c>
      <c r="C588" s="7">
        <f t="shared" si="9"/>
        <v>1.1089652878024658</v>
      </c>
    </row>
    <row r="589" spans="1:3" x14ac:dyDescent="0.3">
      <c r="A589" s="6" t="s">
        <v>588</v>
      </c>
      <c r="B589" s="7">
        <v>5.2531000000000001E-2</v>
      </c>
      <c r="C589" s="7">
        <f t="shared" si="9"/>
        <v>1.1089652878024658</v>
      </c>
    </row>
    <row r="590" spans="1:3" x14ac:dyDescent="0.3">
      <c r="A590" s="6" t="s">
        <v>589</v>
      </c>
      <c r="B590" s="7">
        <v>5.2531000000000001E-2</v>
      </c>
      <c r="C590" s="7">
        <f t="shared" si="9"/>
        <v>1.1089652878024658</v>
      </c>
    </row>
    <row r="591" spans="1:3" x14ac:dyDescent="0.3">
      <c r="A591" s="6" t="s">
        <v>590</v>
      </c>
      <c r="B591" s="7">
        <v>5.2531000000000001E-2</v>
      </c>
      <c r="C591" s="7">
        <f t="shared" si="9"/>
        <v>1.1089652878024658</v>
      </c>
    </row>
    <row r="592" spans="1:3" x14ac:dyDescent="0.3">
      <c r="A592" s="6" t="s">
        <v>591</v>
      </c>
      <c r="B592" s="7">
        <v>5.2531000000000001E-2</v>
      </c>
      <c r="C592" s="7">
        <f t="shared" si="9"/>
        <v>1.1089652878024658</v>
      </c>
    </row>
    <row r="593" spans="1:3" x14ac:dyDescent="0.3">
      <c r="A593" s="6" t="s">
        <v>592</v>
      </c>
      <c r="B593" s="7">
        <v>5.2531000000000001E-2</v>
      </c>
      <c r="C593" s="7">
        <f t="shared" si="9"/>
        <v>1.1089652878024658</v>
      </c>
    </row>
    <row r="594" spans="1:3" x14ac:dyDescent="0.3">
      <c r="A594" s="6" t="s">
        <v>593</v>
      </c>
      <c r="B594" s="7">
        <v>5.2531000000000001E-2</v>
      </c>
      <c r="C594" s="7">
        <f t="shared" si="9"/>
        <v>1.1089652878024658</v>
      </c>
    </row>
    <row r="595" spans="1:3" x14ac:dyDescent="0.3">
      <c r="A595" s="6" t="s">
        <v>594</v>
      </c>
      <c r="B595" s="7">
        <v>5.4266000000000002E-2</v>
      </c>
      <c r="C595" s="7">
        <f t="shared" si="9"/>
        <v>1.1457913831102839</v>
      </c>
    </row>
    <row r="596" spans="1:3" x14ac:dyDescent="0.3">
      <c r="A596" s="6" t="s">
        <v>595</v>
      </c>
      <c r="B596" s="7">
        <v>5.4266000000000002E-2</v>
      </c>
      <c r="C596" s="7">
        <f t="shared" si="9"/>
        <v>1.1457913831102839</v>
      </c>
    </row>
    <row r="597" spans="1:3" x14ac:dyDescent="0.3">
      <c r="A597" s="6" t="s">
        <v>596</v>
      </c>
      <c r="B597" s="7">
        <v>5.4266000000000002E-2</v>
      </c>
      <c r="C597" s="7">
        <f t="shared" si="9"/>
        <v>1.1457913831102839</v>
      </c>
    </row>
    <row r="598" spans="1:3" x14ac:dyDescent="0.3">
      <c r="A598" s="6" t="s">
        <v>597</v>
      </c>
      <c r="B598" s="7">
        <v>5.4266000000000002E-2</v>
      </c>
      <c r="C598" s="7">
        <f t="shared" si="9"/>
        <v>1.1457913831102839</v>
      </c>
    </row>
    <row r="599" spans="1:3" x14ac:dyDescent="0.3">
      <c r="A599" s="6" t="s">
        <v>598</v>
      </c>
      <c r="B599" s="7">
        <v>5.4266000000000002E-2</v>
      </c>
      <c r="C599" s="7">
        <f t="shared" si="9"/>
        <v>1.1457913831102839</v>
      </c>
    </row>
    <row r="600" spans="1:3" x14ac:dyDescent="0.3">
      <c r="A600" s="6" t="s">
        <v>599</v>
      </c>
      <c r="B600" s="7">
        <v>5.4266000000000002E-2</v>
      </c>
      <c r="C600" s="7">
        <f t="shared" si="9"/>
        <v>1.1457913831102839</v>
      </c>
    </row>
    <row r="601" spans="1:3" x14ac:dyDescent="0.3">
      <c r="A601" s="6" t="s">
        <v>600</v>
      </c>
      <c r="B601" s="7">
        <v>5.4266000000000002E-2</v>
      </c>
      <c r="C601" s="7">
        <f t="shared" si="9"/>
        <v>1.1457913831102839</v>
      </c>
    </row>
    <row r="602" spans="1:3" x14ac:dyDescent="0.3">
      <c r="A602" s="6" t="s">
        <v>601</v>
      </c>
      <c r="B602" s="7">
        <v>5.4266000000000002E-2</v>
      </c>
      <c r="C602" s="7">
        <f t="shared" si="9"/>
        <v>1.1457913831102839</v>
      </c>
    </row>
    <row r="603" spans="1:3" x14ac:dyDescent="0.3">
      <c r="A603" s="6" t="s">
        <v>602</v>
      </c>
      <c r="B603" s="7">
        <v>5.4266000000000002E-2</v>
      </c>
      <c r="C603" s="7">
        <f t="shared" si="9"/>
        <v>1.1457913831102839</v>
      </c>
    </row>
    <row r="604" spans="1:3" x14ac:dyDescent="0.3">
      <c r="A604" s="6" t="s">
        <v>603</v>
      </c>
      <c r="B604" s="7">
        <v>5.4266000000000002E-2</v>
      </c>
      <c r="C604" s="7">
        <f t="shared" si="9"/>
        <v>1.1457913831102839</v>
      </c>
    </row>
    <row r="605" spans="1:3" x14ac:dyDescent="0.3">
      <c r="A605" s="6" t="s">
        <v>604</v>
      </c>
      <c r="B605" s="7">
        <v>5.4266000000000002E-2</v>
      </c>
      <c r="C605" s="7">
        <f t="shared" si="9"/>
        <v>1.1457913831102839</v>
      </c>
    </row>
    <row r="606" spans="1:3" x14ac:dyDescent="0.3">
      <c r="A606" s="6" t="s">
        <v>605</v>
      </c>
      <c r="B606" s="7">
        <v>5.4266000000000002E-2</v>
      </c>
      <c r="C606" s="7">
        <f t="shared" si="9"/>
        <v>1.1457913831102839</v>
      </c>
    </row>
    <row r="607" spans="1:3" x14ac:dyDescent="0.3">
      <c r="A607" s="6" t="s">
        <v>606</v>
      </c>
      <c r="B607" s="7">
        <v>5.4266000000000002E-2</v>
      </c>
      <c r="C607" s="7">
        <f t="shared" si="9"/>
        <v>1.1457913831102839</v>
      </c>
    </row>
    <row r="608" spans="1:3" x14ac:dyDescent="0.3">
      <c r="A608" s="6" t="s">
        <v>607</v>
      </c>
      <c r="B608" s="7">
        <v>5.4266000000000002E-2</v>
      </c>
      <c r="C608" s="7">
        <f t="shared" si="9"/>
        <v>1.1457913831102839</v>
      </c>
    </row>
    <row r="609" spans="1:3" x14ac:dyDescent="0.3">
      <c r="A609" s="6" t="s">
        <v>608</v>
      </c>
      <c r="B609" s="7">
        <v>5.4266000000000002E-2</v>
      </c>
      <c r="C609" s="7">
        <f t="shared" si="9"/>
        <v>1.1457913831102839</v>
      </c>
    </row>
    <row r="610" spans="1:3" x14ac:dyDescent="0.3">
      <c r="A610" s="6" t="s">
        <v>609</v>
      </c>
      <c r="B610" s="7">
        <v>5.4266000000000002E-2</v>
      </c>
      <c r="C610" s="7">
        <f t="shared" si="9"/>
        <v>1.1457913831102839</v>
      </c>
    </row>
    <row r="611" spans="1:3" x14ac:dyDescent="0.3">
      <c r="A611" s="6" t="s">
        <v>610</v>
      </c>
      <c r="B611" s="7">
        <v>5.4266000000000002E-2</v>
      </c>
      <c r="C611" s="7">
        <f t="shared" si="9"/>
        <v>1.1457913831102839</v>
      </c>
    </row>
    <row r="612" spans="1:3" x14ac:dyDescent="0.3">
      <c r="A612" s="6" t="s">
        <v>611</v>
      </c>
      <c r="B612" s="7">
        <v>5.4266000000000002E-2</v>
      </c>
      <c r="C612" s="7">
        <f t="shared" si="9"/>
        <v>1.1457913831102839</v>
      </c>
    </row>
    <row r="613" spans="1:3" x14ac:dyDescent="0.3">
      <c r="A613" s="6" t="s">
        <v>612</v>
      </c>
      <c r="B613" s="7">
        <v>5.4266000000000002E-2</v>
      </c>
      <c r="C613" s="7">
        <f t="shared" si="9"/>
        <v>1.1457913831102839</v>
      </c>
    </row>
    <row r="614" spans="1:3" x14ac:dyDescent="0.3">
      <c r="A614" s="6" t="s">
        <v>613</v>
      </c>
      <c r="B614" s="7">
        <v>5.4266000000000002E-2</v>
      </c>
      <c r="C614" s="7">
        <f t="shared" si="9"/>
        <v>1.1457913831102839</v>
      </c>
    </row>
    <row r="615" spans="1:3" x14ac:dyDescent="0.3">
      <c r="A615" s="6" t="s">
        <v>614</v>
      </c>
      <c r="B615" s="7">
        <v>5.4266000000000002E-2</v>
      </c>
      <c r="C615" s="7">
        <f t="shared" si="9"/>
        <v>1.1457913831102839</v>
      </c>
    </row>
    <row r="616" spans="1:3" x14ac:dyDescent="0.3">
      <c r="A616" s="6" t="s">
        <v>615</v>
      </c>
      <c r="B616" s="7">
        <v>5.4266000000000002E-2</v>
      </c>
      <c r="C616" s="7">
        <f t="shared" si="9"/>
        <v>1.1457913831102839</v>
      </c>
    </row>
    <row r="617" spans="1:3" x14ac:dyDescent="0.3">
      <c r="A617" s="6" t="s">
        <v>616</v>
      </c>
      <c r="B617" s="7">
        <v>5.4266000000000002E-2</v>
      </c>
      <c r="C617" s="7">
        <f t="shared" si="9"/>
        <v>1.1457913831102839</v>
      </c>
    </row>
    <row r="618" spans="1:3" x14ac:dyDescent="0.3">
      <c r="A618" s="6" t="s">
        <v>617</v>
      </c>
      <c r="B618" s="7">
        <v>5.4266000000000002E-2</v>
      </c>
      <c r="C618" s="7">
        <f t="shared" si="9"/>
        <v>1.1457913831102839</v>
      </c>
    </row>
    <row r="619" spans="1:3" x14ac:dyDescent="0.3">
      <c r="A619" s="6" t="s">
        <v>618</v>
      </c>
      <c r="B619" s="7">
        <v>5.4266000000000002E-2</v>
      </c>
      <c r="C619" s="7">
        <f t="shared" si="9"/>
        <v>1.1457913831102839</v>
      </c>
    </row>
    <row r="620" spans="1:3" x14ac:dyDescent="0.3">
      <c r="A620" s="6" t="s">
        <v>619</v>
      </c>
      <c r="B620" s="7">
        <v>5.4266000000000002E-2</v>
      </c>
      <c r="C620" s="7">
        <f t="shared" si="9"/>
        <v>1.1457913831102839</v>
      </c>
    </row>
    <row r="621" spans="1:3" x14ac:dyDescent="0.3">
      <c r="A621" s="6" t="s">
        <v>620</v>
      </c>
      <c r="B621" s="7">
        <v>5.4266000000000002E-2</v>
      </c>
      <c r="C621" s="7">
        <f t="shared" si="9"/>
        <v>1.1457913831102839</v>
      </c>
    </row>
    <row r="622" spans="1:3" x14ac:dyDescent="0.3">
      <c r="A622" s="6" t="s">
        <v>621</v>
      </c>
      <c r="B622" s="7">
        <v>5.4266000000000002E-2</v>
      </c>
      <c r="C622" s="7">
        <f t="shared" si="9"/>
        <v>1.1457913831102839</v>
      </c>
    </row>
    <row r="623" spans="1:3" x14ac:dyDescent="0.3">
      <c r="A623" s="6" t="s">
        <v>622</v>
      </c>
      <c r="B623" s="7">
        <v>5.4266000000000002E-2</v>
      </c>
      <c r="C623" s="7">
        <f t="shared" si="9"/>
        <v>1.1457913831102839</v>
      </c>
    </row>
    <row r="624" spans="1:3" x14ac:dyDescent="0.3">
      <c r="A624" s="6" t="s">
        <v>623</v>
      </c>
      <c r="B624" s="7">
        <v>5.4266000000000002E-2</v>
      </c>
      <c r="C624" s="7">
        <f t="shared" si="9"/>
        <v>1.1457913831102839</v>
      </c>
    </row>
    <row r="625" spans="1:3" x14ac:dyDescent="0.3">
      <c r="A625" s="6" t="s">
        <v>624</v>
      </c>
      <c r="B625" s="7">
        <v>5.5130999999999999E-2</v>
      </c>
      <c r="C625" s="7">
        <f t="shared" si="9"/>
        <v>1.164156138797745</v>
      </c>
    </row>
    <row r="626" spans="1:3" x14ac:dyDescent="0.3">
      <c r="A626" s="6" t="s">
        <v>625</v>
      </c>
      <c r="B626" s="7">
        <v>5.5130999999999999E-2</v>
      </c>
      <c r="C626" s="7">
        <f t="shared" si="9"/>
        <v>1.164156138797745</v>
      </c>
    </row>
    <row r="627" spans="1:3" x14ac:dyDescent="0.3">
      <c r="A627" s="6" t="s">
        <v>626</v>
      </c>
      <c r="B627" s="7">
        <v>5.5130999999999999E-2</v>
      </c>
      <c r="C627" s="7">
        <f t="shared" si="9"/>
        <v>1.164156138797745</v>
      </c>
    </row>
    <row r="628" spans="1:3" x14ac:dyDescent="0.3">
      <c r="A628" s="6" t="s">
        <v>627</v>
      </c>
      <c r="B628" s="7">
        <v>5.5130999999999999E-2</v>
      </c>
      <c r="C628" s="7">
        <f t="shared" si="9"/>
        <v>1.164156138797745</v>
      </c>
    </row>
    <row r="629" spans="1:3" x14ac:dyDescent="0.3">
      <c r="A629" s="6" t="s">
        <v>628</v>
      </c>
      <c r="B629" s="7">
        <v>5.5130999999999999E-2</v>
      </c>
      <c r="C629" s="7">
        <f t="shared" si="9"/>
        <v>1.164156138797745</v>
      </c>
    </row>
    <row r="630" spans="1:3" x14ac:dyDescent="0.3">
      <c r="A630" s="6" t="s">
        <v>629</v>
      </c>
      <c r="B630" s="7">
        <v>5.5130999999999999E-2</v>
      </c>
      <c r="C630" s="7">
        <f t="shared" si="9"/>
        <v>1.164156138797745</v>
      </c>
    </row>
    <row r="631" spans="1:3" x14ac:dyDescent="0.3">
      <c r="A631" s="6" t="s">
        <v>630</v>
      </c>
      <c r="B631" s="7">
        <v>5.5130999999999999E-2</v>
      </c>
      <c r="C631" s="7">
        <f t="shared" si="9"/>
        <v>1.164156138797745</v>
      </c>
    </row>
    <row r="632" spans="1:3" x14ac:dyDescent="0.3">
      <c r="A632" s="6" t="s">
        <v>631</v>
      </c>
      <c r="B632" s="7">
        <v>5.5130999999999999E-2</v>
      </c>
      <c r="C632" s="7">
        <f t="shared" si="9"/>
        <v>1.164156138797745</v>
      </c>
    </row>
    <row r="633" spans="1:3" x14ac:dyDescent="0.3">
      <c r="A633" s="6" t="s">
        <v>632</v>
      </c>
      <c r="B633" s="7">
        <v>5.5130999999999999E-2</v>
      </c>
      <c r="C633" s="7">
        <f t="shared" si="9"/>
        <v>1.164156138797745</v>
      </c>
    </row>
    <row r="634" spans="1:3" x14ac:dyDescent="0.3">
      <c r="A634" s="6" t="s">
        <v>633</v>
      </c>
      <c r="B634" s="7">
        <v>5.5130999999999999E-2</v>
      </c>
      <c r="C634" s="7">
        <f t="shared" si="9"/>
        <v>1.164156138797745</v>
      </c>
    </row>
    <row r="635" spans="1:3" x14ac:dyDescent="0.3">
      <c r="A635" s="6" t="s">
        <v>634</v>
      </c>
      <c r="B635" s="7">
        <v>5.5130999999999999E-2</v>
      </c>
      <c r="C635" s="7">
        <f t="shared" si="9"/>
        <v>1.164156138797745</v>
      </c>
    </row>
    <row r="636" spans="1:3" x14ac:dyDescent="0.3">
      <c r="A636" s="6" t="s">
        <v>635</v>
      </c>
      <c r="B636" s="7">
        <v>5.5130999999999999E-2</v>
      </c>
      <c r="C636" s="7">
        <f t="shared" si="9"/>
        <v>1.164156138797745</v>
      </c>
    </row>
    <row r="637" spans="1:3" x14ac:dyDescent="0.3">
      <c r="A637" s="6" t="s">
        <v>636</v>
      </c>
      <c r="B637" s="7">
        <v>5.5130999999999999E-2</v>
      </c>
      <c r="C637" s="7">
        <f t="shared" si="9"/>
        <v>1.164156138797745</v>
      </c>
    </row>
    <row r="638" spans="1:3" x14ac:dyDescent="0.3">
      <c r="A638" s="6" t="s">
        <v>637</v>
      </c>
      <c r="B638" s="7">
        <v>5.5130999999999999E-2</v>
      </c>
      <c r="C638" s="7">
        <f t="shared" si="9"/>
        <v>1.164156138797745</v>
      </c>
    </row>
    <row r="639" spans="1:3" x14ac:dyDescent="0.3">
      <c r="A639" s="6" t="s">
        <v>638</v>
      </c>
      <c r="B639" s="7">
        <v>5.5130999999999999E-2</v>
      </c>
      <c r="C639" s="7">
        <f t="shared" si="9"/>
        <v>1.164156138797745</v>
      </c>
    </row>
    <row r="640" spans="1:3" x14ac:dyDescent="0.3">
      <c r="A640" s="6" t="s">
        <v>639</v>
      </c>
      <c r="B640" s="7">
        <v>5.5130999999999999E-2</v>
      </c>
      <c r="C640" s="7">
        <f t="shared" si="9"/>
        <v>1.164156138797745</v>
      </c>
    </row>
    <row r="641" spans="1:3" x14ac:dyDescent="0.3">
      <c r="A641" s="6" t="s">
        <v>640</v>
      </c>
      <c r="B641" s="7">
        <v>5.5130999999999999E-2</v>
      </c>
      <c r="C641" s="7">
        <f t="shared" si="9"/>
        <v>1.164156138797745</v>
      </c>
    </row>
    <row r="642" spans="1:3" x14ac:dyDescent="0.3">
      <c r="A642" s="6" t="s">
        <v>641</v>
      </c>
      <c r="B642" s="7">
        <v>5.5130999999999999E-2</v>
      </c>
      <c r="C642" s="7">
        <f t="shared" si="9"/>
        <v>1.164156138797745</v>
      </c>
    </row>
    <row r="643" spans="1:3" x14ac:dyDescent="0.3">
      <c r="A643" s="6" t="s">
        <v>642</v>
      </c>
      <c r="B643" s="7">
        <v>5.5130999999999999E-2</v>
      </c>
      <c r="C643" s="7">
        <f t="shared" si="9"/>
        <v>1.164156138797745</v>
      </c>
    </row>
    <row r="644" spans="1:3" x14ac:dyDescent="0.3">
      <c r="A644" s="6" t="s">
        <v>643</v>
      </c>
      <c r="B644" s="7">
        <v>5.5130999999999999E-2</v>
      </c>
      <c r="C644" s="7">
        <f t="shared" si="9"/>
        <v>1.164156138797745</v>
      </c>
    </row>
    <row r="645" spans="1:3" x14ac:dyDescent="0.3">
      <c r="A645" s="6" t="s">
        <v>644</v>
      </c>
      <c r="B645" s="7">
        <v>5.5130999999999999E-2</v>
      </c>
      <c r="C645" s="7">
        <f t="shared" si="9"/>
        <v>1.164156138797745</v>
      </c>
    </row>
    <row r="646" spans="1:3" x14ac:dyDescent="0.3">
      <c r="A646" s="6" t="s">
        <v>645</v>
      </c>
      <c r="B646" s="7">
        <v>5.5130999999999999E-2</v>
      </c>
      <c r="C646" s="7">
        <f t="shared" si="9"/>
        <v>1.164156138797745</v>
      </c>
    </row>
    <row r="647" spans="1:3" x14ac:dyDescent="0.3">
      <c r="A647" s="6" t="s">
        <v>646</v>
      </c>
      <c r="B647" s="7">
        <v>5.5130999999999999E-2</v>
      </c>
      <c r="C647" s="7">
        <f t="shared" si="9"/>
        <v>1.164156138797745</v>
      </c>
    </row>
    <row r="648" spans="1:3" x14ac:dyDescent="0.3">
      <c r="A648" s="6" t="s">
        <v>647</v>
      </c>
      <c r="B648" s="7">
        <v>5.5130999999999999E-2</v>
      </c>
      <c r="C648" s="7">
        <f t="shared" ref="C648:C711" si="10">((1+B648/100)^21-1)*100</f>
        <v>1.164156138797745</v>
      </c>
    </row>
    <row r="649" spans="1:3" x14ac:dyDescent="0.3">
      <c r="A649" s="6" t="s">
        <v>648</v>
      </c>
      <c r="B649" s="7">
        <v>5.5130999999999999E-2</v>
      </c>
      <c r="C649" s="7">
        <f t="shared" si="10"/>
        <v>1.164156138797745</v>
      </c>
    </row>
    <row r="650" spans="1:3" x14ac:dyDescent="0.3">
      <c r="A650" s="6" t="s">
        <v>649</v>
      </c>
      <c r="B650" s="7">
        <v>5.5130999999999999E-2</v>
      </c>
      <c r="C650" s="7">
        <f t="shared" si="10"/>
        <v>1.164156138797745</v>
      </c>
    </row>
    <row r="651" spans="1:3" x14ac:dyDescent="0.3">
      <c r="A651" s="6" t="s">
        <v>650</v>
      </c>
      <c r="B651" s="7">
        <v>5.5130999999999999E-2</v>
      </c>
      <c r="C651" s="7">
        <f t="shared" si="10"/>
        <v>1.164156138797745</v>
      </c>
    </row>
    <row r="652" spans="1:3" x14ac:dyDescent="0.3">
      <c r="A652" s="6" t="s">
        <v>651</v>
      </c>
      <c r="B652" s="7">
        <v>5.5130999999999999E-2</v>
      </c>
      <c r="C652" s="7">
        <f t="shared" si="10"/>
        <v>1.164156138797745</v>
      </c>
    </row>
    <row r="653" spans="1:3" x14ac:dyDescent="0.3">
      <c r="A653" s="6" t="s">
        <v>652</v>
      </c>
      <c r="B653" s="7">
        <v>5.5130999999999999E-2</v>
      </c>
      <c r="C653" s="7">
        <f t="shared" si="10"/>
        <v>1.164156138797745</v>
      </c>
    </row>
    <row r="654" spans="1:3" x14ac:dyDescent="0.3">
      <c r="A654" s="6" t="s">
        <v>653</v>
      </c>
      <c r="B654" s="7">
        <v>5.5130999999999999E-2</v>
      </c>
      <c r="C654" s="7">
        <f t="shared" si="10"/>
        <v>1.164156138797745</v>
      </c>
    </row>
    <row r="655" spans="1:3" x14ac:dyDescent="0.3">
      <c r="A655" s="6" t="s">
        <v>654</v>
      </c>
      <c r="B655" s="7">
        <v>5.5130999999999999E-2</v>
      </c>
      <c r="C655" s="7">
        <f t="shared" si="10"/>
        <v>1.164156138797745</v>
      </c>
    </row>
    <row r="656" spans="1:3" x14ac:dyDescent="0.3">
      <c r="A656" s="6" t="s">
        <v>655</v>
      </c>
      <c r="B656" s="7">
        <v>5.5130999999999999E-2</v>
      </c>
      <c r="C656" s="7">
        <f t="shared" si="10"/>
        <v>1.164156138797745</v>
      </c>
    </row>
    <row r="657" spans="1:3" x14ac:dyDescent="0.3">
      <c r="A657" s="6" t="s">
        <v>656</v>
      </c>
      <c r="B657" s="7">
        <v>5.5130999999999999E-2</v>
      </c>
      <c r="C657" s="7">
        <f t="shared" si="10"/>
        <v>1.164156138797745</v>
      </c>
    </row>
    <row r="658" spans="1:3" x14ac:dyDescent="0.3">
      <c r="A658" s="6" t="s">
        <v>657</v>
      </c>
      <c r="B658" s="7">
        <v>5.5130999999999999E-2</v>
      </c>
      <c r="C658" s="7">
        <f t="shared" si="10"/>
        <v>1.164156138797745</v>
      </c>
    </row>
    <row r="659" spans="1:3" x14ac:dyDescent="0.3">
      <c r="A659" s="6" t="s">
        <v>658</v>
      </c>
      <c r="B659" s="7">
        <v>5.5130999999999999E-2</v>
      </c>
      <c r="C659" s="7">
        <f t="shared" si="10"/>
        <v>1.164156138797745</v>
      </c>
    </row>
    <row r="660" spans="1:3" x14ac:dyDescent="0.3">
      <c r="A660" s="6" t="s">
        <v>659</v>
      </c>
      <c r="B660" s="7">
        <v>5.5130999999999999E-2</v>
      </c>
      <c r="C660" s="7">
        <f t="shared" si="10"/>
        <v>1.164156138797745</v>
      </c>
    </row>
    <row r="661" spans="1:3" x14ac:dyDescent="0.3">
      <c r="A661" s="6" t="s">
        <v>660</v>
      </c>
      <c r="B661" s="7">
        <v>5.5130999999999999E-2</v>
      </c>
      <c r="C661" s="7">
        <f t="shared" si="10"/>
        <v>1.164156138797745</v>
      </c>
    </row>
    <row r="662" spans="1:3" x14ac:dyDescent="0.3">
      <c r="A662" s="6" t="s">
        <v>661</v>
      </c>
      <c r="B662" s="7">
        <v>5.5130999999999999E-2</v>
      </c>
      <c r="C662" s="7">
        <f t="shared" si="10"/>
        <v>1.164156138797745</v>
      </c>
    </row>
    <row r="663" spans="1:3" x14ac:dyDescent="0.3">
      <c r="A663" s="6" t="s">
        <v>662</v>
      </c>
      <c r="B663" s="7">
        <v>5.5130999999999999E-2</v>
      </c>
      <c r="C663" s="7">
        <f t="shared" si="10"/>
        <v>1.164156138797745</v>
      </c>
    </row>
    <row r="664" spans="1:3" x14ac:dyDescent="0.3">
      <c r="A664" s="6" t="s">
        <v>663</v>
      </c>
      <c r="B664" s="7">
        <v>5.5130999999999999E-2</v>
      </c>
      <c r="C664" s="7">
        <f t="shared" si="10"/>
        <v>1.164156138797745</v>
      </c>
    </row>
    <row r="665" spans="1:3" x14ac:dyDescent="0.3">
      <c r="A665" s="6" t="s">
        <v>664</v>
      </c>
      <c r="B665" s="7">
        <v>5.5130999999999999E-2</v>
      </c>
      <c r="C665" s="7">
        <f t="shared" si="10"/>
        <v>1.164156138797745</v>
      </c>
    </row>
    <row r="666" spans="1:3" x14ac:dyDescent="0.3">
      <c r="A666" s="6" t="s">
        <v>665</v>
      </c>
      <c r="B666" s="7">
        <v>5.5130999999999999E-2</v>
      </c>
      <c r="C666" s="7">
        <f t="shared" si="10"/>
        <v>1.164156138797745</v>
      </c>
    </row>
    <row r="667" spans="1:3" x14ac:dyDescent="0.3">
      <c r="A667" s="6" t="s">
        <v>666</v>
      </c>
      <c r="B667" s="7">
        <v>5.5130999999999999E-2</v>
      </c>
      <c r="C667" s="7">
        <f t="shared" si="10"/>
        <v>1.164156138797745</v>
      </c>
    </row>
    <row r="668" spans="1:3" x14ac:dyDescent="0.3">
      <c r="A668" s="6" t="s">
        <v>667</v>
      </c>
      <c r="B668" s="7">
        <v>5.5130999999999999E-2</v>
      </c>
      <c r="C668" s="7">
        <f t="shared" si="10"/>
        <v>1.164156138797745</v>
      </c>
    </row>
    <row r="669" spans="1:3" x14ac:dyDescent="0.3">
      <c r="A669" s="6" t="s">
        <v>668</v>
      </c>
      <c r="B669" s="7">
        <v>5.5130999999999999E-2</v>
      </c>
      <c r="C669" s="7">
        <f t="shared" si="10"/>
        <v>1.164156138797745</v>
      </c>
    </row>
    <row r="670" spans="1:3" x14ac:dyDescent="0.3">
      <c r="A670" s="6" t="s">
        <v>669</v>
      </c>
      <c r="B670" s="7">
        <v>5.5130999999999999E-2</v>
      </c>
      <c r="C670" s="7">
        <f t="shared" si="10"/>
        <v>1.164156138797745</v>
      </c>
    </row>
    <row r="671" spans="1:3" x14ac:dyDescent="0.3">
      <c r="A671" s="6" t="s">
        <v>670</v>
      </c>
      <c r="B671" s="7">
        <v>5.5130999999999999E-2</v>
      </c>
      <c r="C671" s="7">
        <f t="shared" si="10"/>
        <v>1.164156138797745</v>
      </c>
    </row>
    <row r="672" spans="1:3" x14ac:dyDescent="0.3">
      <c r="A672" s="6" t="s">
        <v>671</v>
      </c>
      <c r="B672" s="7">
        <v>5.5130999999999999E-2</v>
      </c>
      <c r="C672" s="7">
        <f t="shared" si="10"/>
        <v>1.164156138797745</v>
      </c>
    </row>
    <row r="673" spans="1:3" x14ac:dyDescent="0.3">
      <c r="A673" s="6" t="s">
        <v>672</v>
      </c>
      <c r="B673" s="7">
        <v>5.5130999999999999E-2</v>
      </c>
      <c r="C673" s="7">
        <f t="shared" si="10"/>
        <v>1.164156138797745</v>
      </c>
    </row>
    <row r="674" spans="1:3" x14ac:dyDescent="0.3">
      <c r="A674" s="6" t="s">
        <v>673</v>
      </c>
      <c r="B674" s="7">
        <v>5.5130999999999999E-2</v>
      </c>
      <c r="C674" s="7">
        <f t="shared" si="10"/>
        <v>1.164156138797745</v>
      </c>
    </row>
    <row r="675" spans="1:3" x14ac:dyDescent="0.3">
      <c r="A675" s="6" t="s">
        <v>674</v>
      </c>
      <c r="B675" s="7">
        <v>5.5130999999999999E-2</v>
      </c>
      <c r="C675" s="7">
        <f t="shared" si="10"/>
        <v>1.164156138797745</v>
      </c>
    </row>
    <row r="676" spans="1:3" x14ac:dyDescent="0.3">
      <c r="A676" s="6" t="s">
        <v>675</v>
      </c>
      <c r="B676" s="7">
        <v>5.5130999999999999E-2</v>
      </c>
      <c r="C676" s="7">
        <f t="shared" si="10"/>
        <v>1.164156138797745</v>
      </c>
    </row>
    <row r="677" spans="1:3" x14ac:dyDescent="0.3">
      <c r="A677" s="6" t="s">
        <v>676</v>
      </c>
      <c r="B677" s="7">
        <v>5.5130999999999999E-2</v>
      </c>
      <c r="C677" s="7">
        <f t="shared" si="10"/>
        <v>1.164156138797745</v>
      </c>
    </row>
    <row r="678" spans="1:3" x14ac:dyDescent="0.3">
      <c r="A678" s="6" t="s">
        <v>677</v>
      </c>
      <c r="B678" s="7">
        <v>5.5130999999999999E-2</v>
      </c>
      <c r="C678" s="7">
        <f t="shared" si="10"/>
        <v>1.164156138797745</v>
      </c>
    </row>
    <row r="679" spans="1:3" x14ac:dyDescent="0.3">
      <c r="A679" s="6" t="s">
        <v>678</v>
      </c>
      <c r="B679" s="7">
        <v>5.5130999999999999E-2</v>
      </c>
      <c r="C679" s="7">
        <f t="shared" si="10"/>
        <v>1.164156138797745</v>
      </c>
    </row>
    <row r="680" spans="1:3" x14ac:dyDescent="0.3">
      <c r="A680" s="6" t="s">
        <v>679</v>
      </c>
      <c r="B680" s="7">
        <v>5.5130999999999999E-2</v>
      </c>
      <c r="C680" s="7">
        <f t="shared" si="10"/>
        <v>1.164156138797745</v>
      </c>
    </row>
    <row r="681" spans="1:3" x14ac:dyDescent="0.3">
      <c r="A681" s="6" t="s">
        <v>680</v>
      </c>
      <c r="B681" s="7">
        <v>5.5130999999999999E-2</v>
      </c>
      <c r="C681" s="7">
        <f t="shared" si="10"/>
        <v>1.164156138797745</v>
      </c>
    </row>
    <row r="682" spans="1:3" x14ac:dyDescent="0.3">
      <c r="A682" s="6" t="s">
        <v>681</v>
      </c>
      <c r="B682" s="7">
        <v>5.5130999999999999E-2</v>
      </c>
      <c r="C682" s="7">
        <f t="shared" si="10"/>
        <v>1.164156138797745</v>
      </c>
    </row>
    <row r="683" spans="1:3" x14ac:dyDescent="0.3">
      <c r="A683" s="6" t="s">
        <v>682</v>
      </c>
      <c r="B683" s="7">
        <v>5.5130999999999999E-2</v>
      </c>
      <c r="C683" s="7">
        <f t="shared" si="10"/>
        <v>1.164156138797745</v>
      </c>
    </row>
    <row r="684" spans="1:3" x14ac:dyDescent="0.3">
      <c r="A684" s="6" t="s">
        <v>683</v>
      </c>
      <c r="B684" s="7">
        <v>5.5130999999999999E-2</v>
      </c>
      <c r="C684" s="7">
        <f t="shared" si="10"/>
        <v>1.164156138797745</v>
      </c>
    </row>
    <row r="685" spans="1:3" x14ac:dyDescent="0.3">
      <c r="A685" s="6" t="s">
        <v>684</v>
      </c>
      <c r="B685" s="7">
        <v>5.5130999999999999E-2</v>
      </c>
      <c r="C685" s="7">
        <f t="shared" si="10"/>
        <v>1.164156138797745</v>
      </c>
    </row>
    <row r="686" spans="1:3" x14ac:dyDescent="0.3">
      <c r="A686" s="6" t="s">
        <v>685</v>
      </c>
      <c r="B686" s="7">
        <v>5.5130999999999999E-2</v>
      </c>
      <c r="C686" s="7">
        <f t="shared" si="10"/>
        <v>1.164156138797745</v>
      </c>
    </row>
    <row r="687" spans="1:3" x14ac:dyDescent="0.3">
      <c r="A687" s="6" t="s">
        <v>686</v>
      </c>
      <c r="B687" s="7">
        <v>5.5130999999999999E-2</v>
      </c>
      <c r="C687" s="7">
        <f t="shared" si="10"/>
        <v>1.164156138797745</v>
      </c>
    </row>
    <row r="688" spans="1:3" x14ac:dyDescent="0.3">
      <c r="A688" s="6" t="s">
        <v>687</v>
      </c>
      <c r="B688" s="7">
        <v>5.5130999999999999E-2</v>
      </c>
      <c r="C688" s="7">
        <f t="shared" si="10"/>
        <v>1.164156138797745</v>
      </c>
    </row>
    <row r="689" spans="1:3" x14ac:dyDescent="0.3">
      <c r="A689" s="6" t="s">
        <v>688</v>
      </c>
      <c r="B689" s="7">
        <v>5.5130999999999999E-2</v>
      </c>
      <c r="C689" s="7">
        <f t="shared" si="10"/>
        <v>1.164156138797745</v>
      </c>
    </row>
    <row r="690" spans="1:3" x14ac:dyDescent="0.3">
      <c r="A690" s="6" t="s">
        <v>689</v>
      </c>
      <c r="B690" s="7">
        <v>5.5130999999999999E-2</v>
      </c>
      <c r="C690" s="7">
        <f t="shared" si="10"/>
        <v>1.164156138797745</v>
      </c>
    </row>
    <row r="691" spans="1:3" x14ac:dyDescent="0.3">
      <c r="A691" s="6" t="s">
        <v>690</v>
      </c>
      <c r="B691" s="7">
        <v>5.5130999999999999E-2</v>
      </c>
      <c r="C691" s="7">
        <f t="shared" si="10"/>
        <v>1.164156138797745</v>
      </c>
    </row>
    <row r="692" spans="1:3" x14ac:dyDescent="0.3">
      <c r="A692" s="6" t="s">
        <v>691</v>
      </c>
      <c r="B692" s="7">
        <v>5.5130999999999999E-2</v>
      </c>
      <c r="C692" s="7">
        <f t="shared" si="10"/>
        <v>1.164156138797745</v>
      </c>
    </row>
    <row r="693" spans="1:3" x14ac:dyDescent="0.3">
      <c r="A693" s="6" t="s">
        <v>692</v>
      </c>
      <c r="B693" s="7">
        <v>5.5130999999999999E-2</v>
      </c>
      <c r="C693" s="7">
        <f t="shared" si="10"/>
        <v>1.164156138797745</v>
      </c>
    </row>
    <row r="694" spans="1:3" x14ac:dyDescent="0.3">
      <c r="A694" s="6" t="s">
        <v>693</v>
      </c>
      <c r="B694" s="7">
        <v>5.5130999999999999E-2</v>
      </c>
      <c r="C694" s="7">
        <f t="shared" si="10"/>
        <v>1.164156138797745</v>
      </c>
    </row>
    <row r="695" spans="1:3" x14ac:dyDescent="0.3">
      <c r="A695" s="6" t="s">
        <v>694</v>
      </c>
      <c r="B695" s="7">
        <v>5.5130999999999999E-2</v>
      </c>
      <c r="C695" s="7">
        <f t="shared" si="10"/>
        <v>1.164156138797745</v>
      </c>
    </row>
    <row r="696" spans="1:3" x14ac:dyDescent="0.3">
      <c r="A696" s="6" t="s">
        <v>695</v>
      </c>
      <c r="B696" s="7">
        <v>5.5130999999999999E-2</v>
      </c>
      <c r="C696" s="7">
        <f t="shared" si="10"/>
        <v>1.164156138797745</v>
      </c>
    </row>
    <row r="697" spans="1:3" x14ac:dyDescent="0.3">
      <c r="A697" s="6" t="s">
        <v>696</v>
      </c>
      <c r="B697" s="7">
        <v>5.5130999999999999E-2</v>
      </c>
      <c r="C697" s="7">
        <f t="shared" si="10"/>
        <v>1.164156138797745</v>
      </c>
    </row>
    <row r="698" spans="1:3" x14ac:dyDescent="0.3">
      <c r="A698" s="6" t="s">
        <v>697</v>
      </c>
      <c r="B698" s="7">
        <v>5.5130999999999999E-2</v>
      </c>
      <c r="C698" s="7">
        <f t="shared" si="10"/>
        <v>1.164156138797745</v>
      </c>
    </row>
    <row r="699" spans="1:3" x14ac:dyDescent="0.3">
      <c r="A699" s="6" t="s">
        <v>698</v>
      </c>
      <c r="B699" s="7">
        <v>5.5130999999999999E-2</v>
      </c>
      <c r="C699" s="7">
        <f t="shared" si="10"/>
        <v>1.164156138797745</v>
      </c>
    </row>
    <row r="700" spans="1:3" x14ac:dyDescent="0.3">
      <c r="A700" s="6" t="s">
        <v>699</v>
      </c>
      <c r="B700" s="7">
        <v>5.5130999999999999E-2</v>
      </c>
      <c r="C700" s="7">
        <f t="shared" si="10"/>
        <v>1.164156138797745</v>
      </c>
    </row>
    <row r="701" spans="1:3" x14ac:dyDescent="0.3">
      <c r="A701" s="6" t="s">
        <v>700</v>
      </c>
      <c r="B701" s="7">
        <v>5.5130999999999999E-2</v>
      </c>
      <c r="C701" s="7">
        <f t="shared" si="10"/>
        <v>1.164156138797745</v>
      </c>
    </row>
    <row r="702" spans="1:3" x14ac:dyDescent="0.3">
      <c r="A702" s="6" t="s">
        <v>701</v>
      </c>
      <c r="B702" s="7">
        <v>5.5130999999999999E-2</v>
      </c>
      <c r="C702" s="7">
        <f t="shared" si="10"/>
        <v>1.164156138797745</v>
      </c>
    </row>
    <row r="703" spans="1:3" x14ac:dyDescent="0.3">
      <c r="A703" s="6" t="s">
        <v>702</v>
      </c>
      <c r="B703" s="7">
        <v>5.5130999999999999E-2</v>
      </c>
      <c r="C703" s="7">
        <f t="shared" si="10"/>
        <v>1.164156138797745</v>
      </c>
    </row>
    <row r="704" spans="1:3" x14ac:dyDescent="0.3">
      <c r="A704" s="6" t="s">
        <v>703</v>
      </c>
      <c r="B704" s="7">
        <v>5.5130999999999999E-2</v>
      </c>
      <c r="C704" s="7">
        <f t="shared" si="10"/>
        <v>1.164156138797745</v>
      </c>
    </row>
    <row r="705" spans="1:3" x14ac:dyDescent="0.3">
      <c r="A705" s="6" t="s">
        <v>704</v>
      </c>
      <c r="B705" s="7">
        <v>5.5130999999999999E-2</v>
      </c>
      <c r="C705" s="7">
        <f t="shared" si="10"/>
        <v>1.164156138797745</v>
      </c>
    </row>
    <row r="706" spans="1:3" x14ac:dyDescent="0.3">
      <c r="A706" s="6" t="s">
        <v>705</v>
      </c>
      <c r="B706" s="7">
        <v>5.5130999999999999E-2</v>
      </c>
      <c r="C706" s="7">
        <f t="shared" si="10"/>
        <v>1.164156138797745</v>
      </c>
    </row>
    <row r="707" spans="1:3" x14ac:dyDescent="0.3">
      <c r="A707" s="6" t="s">
        <v>706</v>
      </c>
      <c r="B707" s="7">
        <v>5.5130999999999999E-2</v>
      </c>
      <c r="C707" s="7">
        <f t="shared" si="10"/>
        <v>1.164156138797745</v>
      </c>
    </row>
    <row r="708" spans="1:3" x14ac:dyDescent="0.3">
      <c r="A708" s="6" t="s">
        <v>707</v>
      </c>
      <c r="B708" s="7">
        <v>5.5130999999999999E-2</v>
      </c>
      <c r="C708" s="7">
        <f t="shared" si="10"/>
        <v>1.164156138797745</v>
      </c>
    </row>
    <row r="709" spans="1:3" x14ac:dyDescent="0.3">
      <c r="A709" s="6" t="s">
        <v>708</v>
      </c>
      <c r="B709" s="7">
        <v>5.5130999999999999E-2</v>
      </c>
      <c r="C709" s="7">
        <f t="shared" si="10"/>
        <v>1.164156138797745</v>
      </c>
    </row>
    <row r="710" spans="1:3" x14ac:dyDescent="0.3">
      <c r="A710" s="6" t="s">
        <v>709</v>
      </c>
      <c r="B710" s="7">
        <v>5.5130999999999999E-2</v>
      </c>
      <c r="C710" s="7">
        <f t="shared" si="10"/>
        <v>1.164156138797745</v>
      </c>
    </row>
    <row r="711" spans="1:3" x14ac:dyDescent="0.3">
      <c r="A711" s="6" t="s">
        <v>710</v>
      </c>
      <c r="B711" s="7">
        <v>5.5130999999999999E-2</v>
      </c>
      <c r="C711" s="7">
        <f t="shared" si="10"/>
        <v>1.164156138797745</v>
      </c>
    </row>
    <row r="712" spans="1:3" x14ac:dyDescent="0.3">
      <c r="A712" s="6" t="s">
        <v>711</v>
      </c>
      <c r="B712" s="7">
        <v>5.5130999999999999E-2</v>
      </c>
      <c r="C712" s="7">
        <f t="shared" ref="C712:C775" si="11">((1+B712/100)^21-1)*100</f>
        <v>1.164156138797745</v>
      </c>
    </row>
    <row r="713" spans="1:3" x14ac:dyDescent="0.3">
      <c r="A713" s="6" t="s">
        <v>712</v>
      </c>
      <c r="B713" s="7">
        <v>5.5130999999999999E-2</v>
      </c>
      <c r="C713" s="7">
        <f t="shared" si="11"/>
        <v>1.164156138797745</v>
      </c>
    </row>
    <row r="714" spans="1:3" x14ac:dyDescent="0.3">
      <c r="A714" s="6" t="s">
        <v>713</v>
      </c>
      <c r="B714" s="7">
        <v>5.5130999999999999E-2</v>
      </c>
      <c r="C714" s="7">
        <f t="shared" si="11"/>
        <v>1.164156138797745</v>
      </c>
    </row>
    <row r="715" spans="1:3" x14ac:dyDescent="0.3">
      <c r="A715" s="6" t="s">
        <v>714</v>
      </c>
      <c r="B715" s="7">
        <v>5.5130999999999999E-2</v>
      </c>
      <c r="C715" s="7">
        <f t="shared" si="11"/>
        <v>1.164156138797745</v>
      </c>
    </row>
    <row r="716" spans="1:3" x14ac:dyDescent="0.3">
      <c r="A716" s="6" t="s">
        <v>715</v>
      </c>
      <c r="B716" s="7">
        <v>5.5130999999999999E-2</v>
      </c>
      <c r="C716" s="7">
        <f t="shared" si="11"/>
        <v>1.164156138797745</v>
      </c>
    </row>
    <row r="717" spans="1:3" x14ac:dyDescent="0.3">
      <c r="A717" s="6" t="s">
        <v>716</v>
      </c>
      <c r="B717" s="7">
        <v>5.5130999999999999E-2</v>
      </c>
      <c r="C717" s="7">
        <f t="shared" si="11"/>
        <v>1.164156138797745</v>
      </c>
    </row>
    <row r="718" spans="1:3" x14ac:dyDescent="0.3">
      <c r="A718" s="6" t="s">
        <v>717</v>
      </c>
      <c r="B718" s="7">
        <v>5.5130999999999999E-2</v>
      </c>
      <c r="C718" s="7">
        <f t="shared" si="11"/>
        <v>1.164156138797745</v>
      </c>
    </row>
    <row r="719" spans="1:3" x14ac:dyDescent="0.3">
      <c r="A719" s="6" t="s">
        <v>718</v>
      </c>
      <c r="B719" s="7">
        <v>5.5130999999999999E-2</v>
      </c>
      <c r="C719" s="7">
        <f t="shared" si="11"/>
        <v>1.164156138797745</v>
      </c>
    </row>
    <row r="720" spans="1:3" x14ac:dyDescent="0.3">
      <c r="A720" s="6" t="s">
        <v>719</v>
      </c>
      <c r="B720" s="7">
        <v>5.5130999999999999E-2</v>
      </c>
      <c r="C720" s="7">
        <f t="shared" si="11"/>
        <v>1.164156138797745</v>
      </c>
    </row>
    <row r="721" spans="1:3" x14ac:dyDescent="0.3">
      <c r="A721" s="6" t="s">
        <v>720</v>
      </c>
      <c r="B721" s="7">
        <v>5.5130999999999999E-2</v>
      </c>
      <c r="C721" s="7">
        <f t="shared" si="11"/>
        <v>1.164156138797745</v>
      </c>
    </row>
    <row r="722" spans="1:3" x14ac:dyDescent="0.3">
      <c r="A722" s="6" t="s">
        <v>721</v>
      </c>
      <c r="B722" s="7">
        <v>5.5130999999999999E-2</v>
      </c>
      <c r="C722" s="7">
        <f t="shared" si="11"/>
        <v>1.164156138797745</v>
      </c>
    </row>
    <row r="723" spans="1:3" x14ac:dyDescent="0.3">
      <c r="A723" s="6" t="s">
        <v>722</v>
      </c>
      <c r="B723" s="7">
        <v>5.5130999999999999E-2</v>
      </c>
      <c r="C723" s="7">
        <f t="shared" si="11"/>
        <v>1.164156138797745</v>
      </c>
    </row>
    <row r="724" spans="1:3" x14ac:dyDescent="0.3">
      <c r="A724" s="6" t="s">
        <v>723</v>
      </c>
      <c r="B724" s="7">
        <v>5.5130999999999999E-2</v>
      </c>
      <c r="C724" s="7">
        <f t="shared" si="11"/>
        <v>1.164156138797745</v>
      </c>
    </row>
    <row r="725" spans="1:3" x14ac:dyDescent="0.3">
      <c r="A725" s="6" t="s">
        <v>724</v>
      </c>
      <c r="B725" s="7">
        <v>5.5130999999999999E-2</v>
      </c>
      <c r="C725" s="7">
        <f t="shared" si="11"/>
        <v>1.164156138797745</v>
      </c>
    </row>
    <row r="726" spans="1:3" x14ac:dyDescent="0.3">
      <c r="A726" s="6" t="s">
        <v>725</v>
      </c>
      <c r="B726" s="7">
        <v>5.5130999999999999E-2</v>
      </c>
      <c r="C726" s="7">
        <f t="shared" si="11"/>
        <v>1.164156138797745</v>
      </c>
    </row>
    <row r="727" spans="1:3" x14ac:dyDescent="0.3">
      <c r="A727" s="6" t="s">
        <v>726</v>
      </c>
      <c r="B727" s="7">
        <v>5.5130999999999999E-2</v>
      </c>
      <c r="C727" s="7">
        <f t="shared" si="11"/>
        <v>1.164156138797745</v>
      </c>
    </row>
    <row r="728" spans="1:3" x14ac:dyDescent="0.3">
      <c r="A728" s="6" t="s">
        <v>727</v>
      </c>
      <c r="B728" s="7">
        <v>5.5130999999999999E-2</v>
      </c>
      <c r="C728" s="7">
        <f t="shared" si="11"/>
        <v>1.164156138797745</v>
      </c>
    </row>
    <row r="729" spans="1:3" x14ac:dyDescent="0.3">
      <c r="A729" s="6" t="s">
        <v>728</v>
      </c>
      <c r="B729" s="7">
        <v>5.5130999999999999E-2</v>
      </c>
      <c r="C729" s="7">
        <f t="shared" si="11"/>
        <v>1.164156138797745</v>
      </c>
    </row>
    <row r="730" spans="1:3" x14ac:dyDescent="0.3">
      <c r="A730" s="6" t="s">
        <v>729</v>
      </c>
      <c r="B730" s="7">
        <v>5.5130999999999999E-2</v>
      </c>
      <c r="C730" s="7">
        <f t="shared" si="11"/>
        <v>1.164156138797745</v>
      </c>
    </row>
    <row r="731" spans="1:3" x14ac:dyDescent="0.3">
      <c r="A731" s="6" t="s">
        <v>730</v>
      </c>
      <c r="B731" s="7">
        <v>5.5130999999999999E-2</v>
      </c>
      <c r="C731" s="7">
        <f t="shared" si="11"/>
        <v>1.164156138797745</v>
      </c>
    </row>
    <row r="732" spans="1:3" x14ac:dyDescent="0.3">
      <c r="A732" s="6" t="s">
        <v>731</v>
      </c>
      <c r="B732" s="7">
        <v>5.5130999999999999E-2</v>
      </c>
      <c r="C732" s="7">
        <f t="shared" si="11"/>
        <v>1.164156138797745</v>
      </c>
    </row>
    <row r="733" spans="1:3" x14ac:dyDescent="0.3">
      <c r="A733" s="6" t="s">
        <v>732</v>
      </c>
      <c r="B733" s="7">
        <v>5.5130999999999999E-2</v>
      </c>
      <c r="C733" s="7">
        <f t="shared" si="11"/>
        <v>1.164156138797745</v>
      </c>
    </row>
    <row r="734" spans="1:3" x14ac:dyDescent="0.3">
      <c r="A734" s="6" t="s">
        <v>733</v>
      </c>
      <c r="B734" s="7">
        <v>5.5130999999999999E-2</v>
      </c>
      <c r="C734" s="7">
        <f t="shared" si="11"/>
        <v>1.164156138797745</v>
      </c>
    </row>
    <row r="735" spans="1:3" x14ac:dyDescent="0.3">
      <c r="A735" s="6" t="s">
        <v>734</v>
      </c>
      <c r="B735" s="7">
        <v>5.5130999999999999E-2</v>
      </c>
      <c r="C735" s="7">
        <f t="shared" si="11"/>
        <v>1.164156138797745</v>
      </c>
    </row>
    <row r="736" spans="1:3" x14ac:dyDescent="0.3">
      <c r="A736" s="6" t="s">
        <v>735</v>
      </c>
      <c r="B736" s="7">
        <v>5.5130999999999999E-2</v>
      </c>
      <c r="C736" s="7">
        <f t="shared" si="11"/>
        <v>1.164156138797745</v>
      </c>
    </row>
    <row r="737" spans="1:3" x14ac:dyDescent="0.3">
      <c r="A737" s="6" t="s">
        <v>736</v>
      </c>
      <c r="B737" s="7">
        <v>5.5130999999999999E-2</v>
      </c>
      <c r="C737" s="7">
        <f t="shared" si="11"/>
        <v>1.164156138797745</v>
      </c>
    </row>
    <row r="738" spans="1:3" x14ac:dyDescent="0.3">
      <c r="A738" s="6" t="s">
        <v>737</v>
      </c>
      <c r="B738" s="7">
        <v>5.5130999999999999E-2</v>
      </c>
      <c r="C738" s="7">
        <f t="shared" si="11"/>
        <v>1.164156138797745</v>
      </c>
    </row>
    <row r="739" spans="1:3" x14ac:dyDescent="0.3">
      <c r="A739" s="6" t="s">
        <v>738</v>
      </c>
      <c r="B739" s="7">
        <v>5.5130999999999999E-2</v>
      </c>
      <c r="C739" s="7">
        <f t="shared" si="11"/>
        <v>1.164156138797745</v>
      </c>
    </row>
    <row r="740" spans="1:3" x14ac:dyDescent="0.3">
      <c r="A740" s="6" t="s">
        <v>739</v>
      </c>
      <c r="B740" s="7">
        <v>5.5130999999999999E-2</v>
      </c>
      <c r="C740" s="7">
        <f t="shared" si="11"/>
        <v>1.164156138797745</v>
      </c>
    </row>
    <row r="741" spans="1:3" x14ac:dyDescent="0.3">
      <c r="A741" s="6" t="s">
        <v>740</v>
      </c>
      <c r="B741" s="7">
        <v>5.5130999999999999E-2</v>
      </c>
      <c r="C741" s="7">
        <f t="shared" si="11"/>
        <v>1.164156138797745</v>
      </c>
    </row>
    <row r="742" spans="1:3" x14ac:dyDescent="0.3">
      <c r="A742" s="6" t="s">
        <v>741</v>
      </c>
      <c r="B742" s="7">
        <v>5.5130999999999999E-2</v>
      </c>
      <c r="C742" s="7">
        <f t="shared" si="11"/>
        <v>1.164156138797745</v>
      </c>
    </row>
    <row r="743" spans="1:3" x14ac:dyDescent="0.3">
      <c r="A743" s="6" t="s">
        <v>742</v>
      </c>
      <c r="B743" s="7">
        <v>5.5130999999999999E-2</v>
      </c>
      <c r="C743" s="7">
        <f t="shared" si="11"/>
        <v>1.164156138797745</v>
      </c>
    </row>
    <row r="744" spans="1:3" x14ac:dyDescent="0.3">
      <c r="A744" s="6" t="s">
        <v>743</v>
      </c>
      <c r="B744" s="7">
        <v>5.5130999999999999E-2</v>
      </c>
      <c r="C744" s="7">
        <f t="shared" si="11"/>
        <v>1.164156138797745</v>
      </c>
    </row>
    <row r="745" spans="1:3" x14ac:dyDescent="0.3">
      <c r="A745" s="6" t="s">
        <v>744</v>
      </c>
      <c r="B745" s="7">
        <v>5.5130999999999999E-2</v>
      </c>
      <c r="C745" s="7">
        <f t="shared" si="11"/>
        <v>1.164156138797745</v>
      </c>
    </row>
    <row r="746" spans="1:3" x14ac:dyDescent="0.3">
      <c r="A746" s="6" t="s">
        <v>745</v>
      </c>
      <c r="B746" s="7">
        <v>5.5130999999999999E-2</v>
      </c>
      <c r="C746" s="7">
        <f t="shared" si="11"/>
        <v>1.164156138797745</v>
      </c>
    </row>
    <row r="747" spans="1:3" x14ac:dyDescent="0.3">
      <c r="A747" s="6" t="s">
        <v>746</v>
      </c>
      <c r="B747" s="7">
        <v>5.5130999999999999E-2</v>
      </c>
      <c r="C747" s="7">
        <f t="shared" si="11"/>
        <v>1.164156138797745</v>
      </c>
    </row>
    <row r="748" spans="1:3" x14ac:dyDescent="0.3">
      <c r="A748" s="6" t="s">
        <v>747</v>
      </c>
      <c r="B748" s="7">
        <v>5.5130999999999999E-2</v>
      </c>
      <c r="C748" s="7">
        <f t="shared" si="11"/>
        <v>1.164156138797745</v>
      </c>
    </row>
    <row r="749" spans="1:3" x14ac:dyDescent="0.3">
      <c r="A749" s="6" t="s">
        <v>748</v>
      </c>
      <c r="B749" s="7">
        <v>5.5130999999999999E-2</v>
      </c>
      <c r="C749" s="7">
        <f t="shared" si="11"/>
        <v>1.164156138797745</v>
      </c>
    </row>
    <row r="750" spans="1:3" x14ac:dyDescent="0.3">
      <c r="A750" s="6" t="s">
        <v>749</v>
      </c>
      <c r="B750" s="7">
        <v>5.5130999999999999E-2</v>
      </c>
      <c r="C750" s="7">
        <f t="shared" si="11"/>
        <v>1.164156138797745</v>
      </c>
    </row>
    <row r="751" spans="1:3" x14ac:dyDescent="0.3">
      <c r="A751" s="6" t="s">
        <v>750</v>
      </c>
      <c r="B751" s="7">
        <v>5.5130999999999999E-2</v>
      </c>
      <c r="C751" s="7">
        <f t="shared" si="11"/>
        <v>1.164156138797745</v>
      </c>
    </row>
    <row r="752" spans="1:3" x14ac:dyDescent="0.3">
      <c r="A752" s="6" t="s">
        <v>751</v>
      </c>
      <c r="B752" s="7">
        <v>5.5130999999999999E-2</v>
      </c>
      <c r="C752" s="7">
        <f t="shared" si="11"/>
        <v>1.164156138797745</v>
      </c>
    </row>
    <row r="753" spans="1:3" x14ac:dyDescent="0.3">
      <c r="A753" s="6" t="s">
        <v>752</v>
      </c>
      <c r="B753" s="7">
        <v>5.5130999999999999E-2</v>
      </c>
      <c r="C753" s="7">
        <f t="shared" si="11"/>
        <v>1.164156138797745</v>
      </c>
    </row>
    <row r="754" spans="1:3" x14ac:dyDescent="0.3">
      <c r="A754" s="6" t="s">
        <v>753</v>
      </c>
      <c r="B754" s="7">
        <v>5.5130999999999999E-2</v>
      </c>
      <c r="C754" s="7">
        <f t="shared" si="11"/>
        <v>1.164156138797745</v>
      </c>
    </row>
    <row r="755" spans="1:3" x14ac:dyDescent="0.3">
      <c r="A755" s="6" t="s">
        <v>754</v>
      </c>
      <c r="B755" s="7">
        <v>5.5130999999999999E-2</v>
      </c>
      <c r="C755" s="7">
        <f t="shared" si="11"/>
        <v>1.164156138797745</v>
      </c>
    </row>
    <row r="756" spans="1:3" x14ac:dyDescent="0.3">
      <c r="A756" s="6" t="s">
        <v>755</v>
      </c>
      <c r="B756" s="7">
        <v>5.5130999999999999E-2</v>
      </c>
      <c r="C756" s="7">
        <f t="shared" si="11"/>
        <v>1.164156138797745</v>
      </c>
    </row>
    <row r="757" spans="1:3" x14ac:dyDescent="0.3">
      <c r="A757" s="6" t="s">
        <v>756</v>
      </c>
      <c r="B757" s="7">
        <v>5.5130999999999999E-2</v>
      </c>
      <c r="C757" s="7">
        <f t="shared" si="11"/>
        <v>1.164156138797745</v>
      </c>
    </row>
    <row r="758" spans="1:3" x14ac:dyDescent="0.3">
      <c r="A758" s="6" t="s">
        <v>757</v>
      </c>
      <c r="B758" s="7">
        <v>5.5130999999999999E-2</v>
      </c>
      <c r="C758" s="7">
        <f t="shared" si="11"/>
        <v>1.164156138797745</v>
      </c>
    </row>
    <row r="759" spans="1:3" x14ac:dyDescent="0.3">
      <c r="A759" s="6" t="s">
        <v>758</v>
      </c>
      <c r="B759" s="7">
        <v>5.5130999999999999E-2</v>
      </c>
      <c r="C759" s="7">
        <f t="shared" si="11"/>
        <v>1.164156138797745</v>
      </c>
    </row>
    <row r="760" spans="1:3" x14ac:dyDescent="0.3">
      <c r="A760" s="6" t="s">
        <v>759</v>
      </c>
      <c r="B760" s="7">
        <v>5.5130999999999999E-2</v>
      </c>
      <c r="C760" s="7">
        <f t="shared" si="11"/>
        <v>1.164156138797745</v>
      </c>
    </row>
    <row r="761" spans="1:3" x14ac:dyDescent="0.3">
      <c r="A761" s="6" t="s">
        <v>760</v>
      </c>
      <c r="B761" s="7">
        <v>5.5130999999999999E-2</v>
      </c>
      <c r="C761" s="7">
        <f t="shared" si="11"/>
        <v>1.164156138797745</v>
      </c>
    </row>
    <row r="762" spans="1:3" x14ac:dyDescent="0.3">
      <c r="A762" s="6" t="s">
        <v>761</v>
      </c>
      <c r="B762" s="7">
        <v>5.5130999999999999E-2</v>
      </c>
      <c r="C762" s="7">
        <f t="shared" si="11"/>
        <v>1.164156138797745</v>
      </c>
    </row>
    <row r="763" spans="1:3" x14ac:dyDescent="0.3">
      <c r="A763" s="6" t="s">
        <v>762</v>
      </c>
      <c r="B763" s="7">
        <v>5.5130999999999999E-2</v>
      </c>
      <c r="C763" s="7">
        <f t="shared" si="11"/>
        <v>1.164156138797745</v>
      </c>
    </row>
    <row r="764" spans="1:3" x14ac:dyDescent="0.3">
      <c r="A764" s="6" t="s">
        <v>763</v>
      </c>
      <c r="B764" s="7">
        <v>5.5130999999999999E-2</v>
      </c>
      <c r="C764" s="7">
        <f t="shared" si="11"/>
        <v>1.164156138797745</v>
      </c>
    </row>
    <row r="765" spans="1:3" x14ac:dyDescent="0.3">
      <c r="A765" s="6" t="s">
        <v>764</v>
      </c>
      <c r="B765" s="7">
        <v>5.5130999999999999E-2</v>
      </c>
      <c r="C765" s="7">
        <f t="shared" si="11"/>
        <v>1.164156138797745</v>
      </c>
    </row>
    <row r="766" spans="1:3" x14ac:dyDescent="0.3">
      <c r="A766" s="6" t="s">
        <v>765</v>
      </c>
      <c r="B766" s="7">
        <v>5.5130999999999999E-2</v>
      </c>
      <c r="C766" s="7">
        <f t="shared" si="11"/>
        <v>1.164156138797745</v>
      </c>
    </row>
    <row r="767" spans="1:3" x14ac:dyDescent="0.3">
      <c r="A767" s="6" t="s">
        <v>766</v>
      </c>
      <c r="B767" s="7">
        <v>5.5130999999999999E-2</v>
      </c>
      <c r="C767" s="7">
        <f t="shared" si="11"/>
        <v>1.164156138797745</v>
      </c>
    </row>
    <row r="768" spans="1:3" x14ac:dyDescent="0.3">
      <c r="A768" s="6" t="s">
        <v>767</v>
      </c>
      <c r="B768" s="7">
        <v>5.5130999999999999E-2</v>
      </c>
      <c r="C768" s="7">
        <f t="shared" si="11"/>
        <v>1.164156138797745</v>
      </c>
    </row>
    <row r="769" spans="1:3" x14ac:dyDescent="0.3">
      <c r="A769" s="6" t="s">
        <v>768</v>
      </c>
      <c r="B769" s="7">
        <v>5.5130999999999999E-2</v>
      </c>
      <c r="C769" s="7">
        <f t="shared" si="11"/>
        <v>1.164156138797745</v>
      </c>
    </row>
    <row r="770" spans="1:3" x14ac:dyDescent="0.3">
      <c r="A770" s="6" t="s">
        <v>769</v>
      </c>
      <c r="B770" s="7">
        <v>5.5130999999999999E-2</v>
      </c>
      <c r="C770" s="7">
        <f t="shared" si="11"/>
        <v>1.164156138797745</v>
      </c>
    </row>
    <row r="771" spans="1:3" x14ac:dyDescent="0.3">
      <c r="A771" s="6" t="s">
        <v>770</v>
      </c>
      <c r="B771" s="7">
        <v>5.5130999999999999E-2</v>
      </c>
      <c r="C771" s="7">
        <f t="shared" si="11"/>
        <v>1.164156138797745</v>
      </c>
    </row>
    <row r="772" spans="1:3" x14ac:dyDescent="0.3">
      <c r="A772" s="6" t="s">
        <v>771</v>
      </c>
      <c r="B772" s="7">
        <v>5.5130999999999999E-2</v>
      </c>
      <c r="C772" s="7">
        <f t="shared" si="11"/>
        <v>1.164156138797745</v>
      </c>
    </row>
    <row r="773" spans="1:3" x14ac:dyDescent="0.3">
      <c r="A773" s="6" t="s">
        <v>772</v>
      </c>
      <c r="B773" s="7">
        <v>5.5130999999999999E-2</v>
      </c>
      <c r="C773" s="7">
        <f t="shared" si="11"/>
        <v>1.164156138797745</v>
      </c>
    </row>
    <row r="774" spans="1:3" x14ac:dyDescent="0.3">
      <c r="A774" s="6" t="s">
        <v>773</v>
      </c>
      <c r="B774" s="7">
        <v>5.5130999999999999E-2</v>
      </c>
      <c r="C774" s="7">
        <f t="shared" si="11"/>
        <v>1.164156138797745</v>
      </c>
    </row>
    <row r="775" spans="1:3" x14ac:dyDescent="0.3">
      <c r="A775" s="6" t="s">
        <v>774</v>
      </c>
      <c r="B775" s="7">
        <v>5.5130999999999999E-2</v>
      </c>
      <c r="C775" s="7">
        <f t="shared" si="11"/>
        <v>1.164156138797745</v>
      </c>
    </row>
    <row r="776" spans="1:3" x14ac:dyDescent="0.3">
      <c r="A776" s="6" t="s">
        <v>775</v>
      </c>
      <c r="B776" s="7">
        <v>5.5130999999999999E-2</v>
      </c>
      <c r="C776" s="7">
        <f t="shared" ref="C776:C839" si="12">((1+B776/100)^21-1)*100</f>
        <v>1.164156138797745</v>
      </c>
    </row>
    <row r="777" spans="1:3" x14ac:dyDescent="0.3">
      <c r="A777" s="6" t="s">
        <v>776</v>
      </c>
      <c r="B777" s="7">
        <v>5.5130999999999999E-2</v>
      </c>
      <c r="C777" s="7">
        <f t="shared" si="12"/>
        <v>1.164156138797745</v>
      </c>
    </row>
    <row r="778" spans="1:3" x14ac:dyDescent="0.3">
      <c r="A778" s="6" t="s">
        <v>777</v>
      </c>
      <c r="B778" s="7">
        <v>5.5130999999999999E-2</v>
      </c>
      <c r="C778" s="7">
        <f t="shared" si="12"/>
        <v>1.164156138797745</v>
      </c>
    </row>
    <row r="779" spans="1:3" x14ac:dyDescent="0.3">
      <c r="A779" s="6" t="s">
        <v>778</v>
      </c>
      <c r="B779" s="7">
        <v>5.5130999999999999E-2</v>
      </c>
      <c r="C779" s="7">
        <f t="shared" si="12"/>
        <v>1.164156138797745</v>
      </c>
    </row>
    <row r="780" spans="1:3" x14ac:dyDescent="0.3">
      <c r="A780" s="6" t="s">
        <v>779</v>
      </c>
      <c r="B780" s="7">
        <v>5.5130999999999999E-2</v>
      </c>
      <c r="C780" s="7">
        <f t="shared" si="12"/>
        <v>1.164156138797745</v>
      </c>
    </row>
    <row r="781" spans="1:3" x14ac:dyDescent="0.3">
      <c r="A781" s="6" t="s">
        <v>780</v>
      </c>
      <c r="B781" s="7">
        <v>5.5130999999999999E-2</v>
      </c>
      <c r="C781" s="7">
        <f t="shared" si="12"/>
        <v>1.164156138797745</v>
      </c>
    </row>
    <row r="782" spans="1:3" x14ac:dyDescent="0.3">
      <c r="A782" s="6" t="s">
        <v>781</v>
      </c>
      <c r="B782" s="7">
        <v>5.5130999999999999E-2</v>
      </c>
      <c r="C782" s="7">
        <f t="shared" si="12"/>
        <v>1.164156138797745</v>
      </c>
    </row>
    <row r="783" spans="1:3" x14ac:dyDescent="0.3">
      <c r="A783" s="6" t="s">
        <v>782</v>
      </c>
      <c r="B783" s="7">
        <v>5.5130999999999999E-2</v>
      </c>
      <c r="C783" s="7">
        <f t="shared" si="12"/>
        <v>1.164156138797745</v>
      </c>
    </row>
    <row r="784" spans="1:3" x14ac:dyDescent="0.3">
      <c r="A784" s="6" t="s">
        <v>783</v>
      </c>
      <c r="B784" s="7">
        <v>5.5130999999999999E-2</v>
      </c>
      <c r="C784" s="7">
        <f t="shared" si="12"/>
        <v>1.164156138797745</v>
      </c>
    </row>
    <row r="785" spans="1:3" x14ac:dyDescent="0.3">
      <c r="A785" s="6" t="s">
        <v>784</v>
      </c>
      <c r="B785" s="7">
        <v>5.5130999999999999E-2</v>
      </c>
      <c r="C785" s="7">
        <f t="shared" si="12"/>
        <v>1.164156138797745</v>
      </c>
    </row>
    <row r="786" spans="1:3" x14ac:dyDescent="0.3">
      <c r="A786" s="6" t="s">
        <v>785</v>
      </c>
      <c r="B786" s="7">
        <v>5.5130999999999999E-2</v>
      </c>
      <c r="C786" s="7">
        <f t="shared" si="12"/>
        <v>1.164156138797745</v>
      </c>
    </row>
    <row r="787" spans="1:3" x14ac:dyDescent="0.3">
      <c r="A787" s="6" t="s">
        <v>786</v>
      </c>
      <c r="B787" s="7">
        <v>5.5130999999999999E-2</v>
      </c>
      <c r="C787" s="7">
        <f t="shared" si="12"/>
        <v>1.164156138797745</v>
      </c>
    </row>
    <row r="788" spans="1:3" x14ac:dyDescent="0.3">
      <c r="A788" s="6" t="s">
        <v>787</v>
      </c>
      <c r="B788" s="7">
        <v>5.5130999999999999E-2</v>
      </c>
      <c r="C788" s="7">
        <f t="shared" si="12"/>
        <v>1.164156138797745</v>
      </c>
    </row>
    <row r="789" spans="1:3" x14ac:dyDescent="0.3">
      <c r="A789" s="6" t="s">
        <v>788</v>
      </c>
      <c r="B789" s="7">
        <v>5.5130999999999999E-2</v>
      </c>
      <c r="C789" s="7">
        <f t="shared" si="12"/>
        <v>1.164156138797745</v>
      </c>
    </row>
    <row r="790" spans="1:3" x14ac:dyDescent="0.3">
      <c r="A790" s="6" t="s">
        <v>789</v>
      </c>
      <c r="B790" s="7">
        <v>5.5130999999999999E-2</v>
      </c>
      <c r="C790" s="7">
        <f t="shared" si="12"/>
        <v>1.164156138797745</v>
      </c>
    </row>
    <row r="791" spans="1:3" x14ac:dyDescent="0.3">
      <c r="A791" s="6" t="s">
        <v>790</v>
      </c>
      <c r="B791" s="7">
        <v>5.5130999999999999E-2</v>
      </c>
      <c r="C791" s="7">
        <f t="shared" si="12"/>
        <v>1.164156138797745</v>
      </c>
    </row>
    <row r="792" spans="1:3" x14ac:dyDescent="0.3">
      <c r="A792" s="6" t="s">
        <v>791</v>
      </c>
      <c r="B792" s="7">
        <v>5.5130999999999999E-2</v>
      </c>
      <c r="C792" s="7">
        <f t="shared" si="12"/>
        <v>1.164156138797745</v>
      </c>
    </row>
    <row r="793" spans="1:3" x14ac:dyDescent="0.3">
      <c r="A793" s="6" t="s">
        <v>792</v>
      </c>
      <c r="B793" s="7">
        <v>5.5130999999999999E-2</v>
      </c>
      <c r="C793" s="7">
        <f t="shared" si="12"/>
        <v>1.164156138797745</v>
      </c>
    </row>
    <row r="794" spans="1:3" x14ac:dyDescent="0.3">
      <c r="A794" s="6" t="s">
        <v>793</v>
      </c>
      <c r="B794" s="7">
        <v>5.5130999999999999E-2</v>
      </c>
      <c r="C794" s="7">
        <f t="shared" si="12"/>
        <v>1.164156138797745</v>
      </c>
    </row>
    <row r="795" spans="1:3" x14ac:dyDescent="0.3">
      <c r="A795" s="6" t="s">
        <v>794</v>
      </c>
      <c r="B795" s="7">
        <v>5.5130999999999999E-2</v>
      </c>
      <c r="C795" s="7">
        <f t="shared" si="12"/>
        <v>1.164156138797745</v>
      </c>
    </row>
    <row r="796" spans="1:3" x14ac:dyDescent="0.3">
      <c r="A796" s="6" t="s">
        <v>795</v>
      </c>
      <c r="B796" s="7">
        <v>5.5130999999999999E-2</v>
      </c>
      <c r="C796" s="7">
        <f t="shared" si="12"/>
        <v>1.164156138797745</v>
      </c>
    </row>
    <row r="797" spans="1:3" x14ac:dyDescent="0.3">
      <c r="A797" s="6" t="s">
        <v>796</v>
      </c>
      <c r="B797" s="7">
        <v>5.5130999999999999E-2</v>
      </c>
      <c r="C797" s="7">
        <f t="shared" si="12"/>
        <v>1.164156138797745</v>
      </c>
    </row>
    <row r="798" spans="1:3" x14ac:dyDescent="0.3">
      <c r="A798" s="6" t="s">
        <v>797</v>
      </c>
      <c r="B798" s="7">
        <v>5.5130999999999999E-2</v>
      </c>
      <c r="C798" s="7">
        <f t="shared" si="12"/>
        <v>1.164156138797745</v>
      </c>
    </row>
    <row r="799" spans="1:3" x14ac:dyDescent="0.3">
      <c r="A799" s="6" t="s">
        <v>798</v>
      </c>
      <c r="B799" s="7">
        <v>5.5130999999999999E-2</v>
      </c>
      <c r="C799" s="7">
        <f t="shared" si="12"/>
        <v>1.164156138797745</v>
      </c>
    </row>
    <row r="800" spans="1:3" x14ac:dyDescent="0.3">
      <c r="A800" s="6" t="s">
        <v>799</v>
      </c>
      <c r="B800" s="7">
        <v>5.5130999999999999E-2</v>
      </c>
      <c r="C800" s="7">
        <f t="shared" si="12"/>
        <v>1.164156138797745</v>
      </c>
    </row>
    <row r="801" spans="1:3" x14ac:dyDescent="0.3">
      <c r="A801" s="6" t="s">
        <v>800</v>
      </c>
      <c r="B801" s="7">
        <v>5.5130999999999999E-2</v>
      </c>
      <c r="C801" s="7">
        <f t="shared" si="12"/>
        <v>1.164156138797745</v>
      </c>
    </row>
    <row r="802" spans="1:3" x14ac:dyDescent="0.3">
      <c r="A802" s="6" t="s">
        <v>801</v>
      </c>
      <c r="B802" s="7">
        <v>5.5130999999999999E-2</v>
      </c>
      <c r="C802" s="7">
        <f t="shared" si="12"/>
        <v>1.164156138797745</v>
      </c>
    </row>
    <row r="803" spans="1:3" x14ac:dyDescent="0.3">
      <c r="A803" s="6" t="s">
        <v>802</v>
      </c>
      <c r="B803" s="7">
        <v>5.5130999999999999E-2</v>
      </c>
      <c r="C803" s="7">
        <f t="shared" si="12"/>
        <v>1.164156138797745</v>
      </c>
    </row>
    <row r="804" spans="1:3" x14ac:dyDescent="0.3">
      <c r="A804" s="6" t="s">
        <v>803</v>
      </c>
      <c r="B804" s="7">
        <v>5.5130999999999999E-2</v>
      </c>
      <c r="C804" s="7">
        <f t="shared" si="12"/>
        <v>1.164156138797745</v>
      </c>
    </row>
    <row r="805" spans="1:3" x14ac:dyDescent="0.3">
      <c r="A805" s="6" t="s">
        <v>804</v>
      </c>
      <c r="B805" s="7">
        <v>5.5130999999999999E-2</v>
      </c>
      <c r="C805" s="7">
        <f t="shared" si="12"/>
        <v>1.164156138797745</v>
      </c>
    </row>
    <row r="806" spans="1:3" x14ac:dyDescent="0.3">
      <c r="A806" s="6" t="s">
        <v>805</v>
      </c>
      <c r="B806" s="7">
        <v>5.5130999999999999E-2</v>
      </c>
      <c r="C806" s="7">
        <f t="shared" si="12"/>
        <v>1.164156138797745</v>
      </c>
    </row>
    <row r="807" spans="1:3" x14ac:dyDescent="0.3">
      <c r="A807" s="6" t="s">
        <v>806</v>
      </c>
      <c r="B807" s="7">
        <v>5.5130999999999999E-2</v>
      </c>
      <c r="C807" s="7">
        <f t="shared" si="12"/>
        <v>1.164156138797745</v>
      </c>
    </row>
    <row r="808" spans="1:3" x14ac:dyDescent="0.3">
      <c r="A808" s="6" t="s">
        <v>807</v>
      </c>
      <c r="B808" s="7">
        <v>5.5130999999999999E-2</v>
      </c>
      <c r="C808" s="7">
        <f t="shared" si="12"/>
        <v>1.164156138797745</v>
      </c>
    </row>
    <row r="809" spans="1:3" x14ac:dyDescent="0.3">
      <c r="A809" s="6" t="s">
        <v>808</v>
      </c>
      <c r="B809" s="7">
        <v>5.5130999999999999E-2</v>
      </c>
      <c r="C809" s="7">
        <f t="shared" si="12"/>
        <v>1.164156138797745</v>
      </c>
    </row>
    <row r="810" spans="1:3" x14ac:dyDescent="0.3">
      <c r="A810" s="6" t="s">
        <v>809</v>
      </c>
      <c r="B810" s="7">
        <v>5.5130999999999999E-2</v>
      </c>
      <c r="C810" s="7">
        <f t="shared" si="12"/>
        <v>1.164156138797745</v>
      </c>
    </row>
    <row r="811" spans="1:3" x14ac:dyDescent="0.3">
      <c r="A811" s="6" t="s">
        <v>810</v>
      </c>
      <c r="B811" s="7">
        <v>5.5130999999999999E-2</v>
      </c>
      <c r="C811" s="7">
        <f t="shared" si="12"/>
        <v>1.164156138797745</v>
      </c>
    </row>
    <row r="812" spans="1:3" x14ac:dyDescent="0.3">
      <c r="A812" s="6" t="s">
        <v>811</v>
      </c>
      <c r="B812" s="7">
        <v>5.5130999999999999E-2</v>
      </c>
      <c r="C812" s="7">
        <f t="shared" si="12"/>
        <v>1.164156138797745</v>
      </c>
    </row>
    <row r="813" spans="1:3" x14ac:dyDescent="0.3">
      <c r="A813" s="6" t="s">
        <v>812</v>
      </c>
      <c r="B813" s="7">
        <v>5.5130999999999999E-2</v>
      </c>
      <c r="C813" s="7">
        <f t="shared" si="12"/>
        <v>1.164156138797745</v>
      </c>
    </row>
    <row r="814" spans="1:3" x14ac:dyDescent="0.3">
      <c r="A814" s="6" t="s">
        <v>813</v>
      </c>
      <c r="B814" s="7">
        <v>5.4266000000000002E-2</v>
      </c>
      <c r="C814" s="7">
        <f t="shared" si="12"/>
        <v>1.1457913831102839</v>
      </c>
    </row>
    <row r="815" spans="1:3" x14ac:dyDescent="0.3">
      <c r="A815" s="6" t="s">
        <v>814</v>
      </c>
      <c r="B815" s="7">
        <v>5.4266000000000002E-2</v>
      </c>
      <c r="C815" s="7">
        <f t="shared" si="12"/>
        <v>1.1457913831102839</v>
      </c>
    </row>
    <row r="816" spans="1:3" x14ac:dyDescent="0.3">
      <c r="A816" s="6" t="s">
        <v>815</v>
      </c>
      <c r="B816" s="7">
        <v>5.4266000000000002E-2</v>
      </c>
      <c r="C816" s="7">
        <f t="shared" si="12"/>
        <v>1.1457913831102839</v>
      </c>
    </row>
    <row r="817" spans="1:3" x14ac:dyDescent="0.3">
      <c r="A817" s="6" t="s">
        <v>816</v>
      </c>
      <c r="B817" s="7">
        <v>5.4266000000000002E-2</v>
      </c>
      <c r="C817" s="7">
        <f t="shared" si="12"/>
        <v>1.1457913831102839</v>
      </c>
    </row>
    <row r="818" spans="1:3" x14ac:dyDescent="0.3">
      <c r="A818" s="6" t="s">
        <v>817</v>
      </c>
      <c r="B818" s="7">
        <v>5.4266000000000002E-2</v>
      </c>
      <c r="C818" s="7">
        <f t="shared" si="12"/>
        <v>1.1457913831102839</v>
      </c>
    </row>
    <row r="819" spans="1:3" x14ac:dyDescent="0.3">
      <c r="A819" s="6" t="s">
        <v>818</v>
      </c>
      <c r="B819" s="7">
        <v>5.4266000000000002E-2</v>
      </c>
      <c r="C819" s="7">
        <f t="shared" si="12"/>
        <v>1.1457913831102839</v>
      </c>
    </row>
    <row r="820" spans="1:3" x14ac:dyDescent="0.3">
      <c r="A820" s="6" t="s">
        <v>819</v>
      </c>
      <c r="B820" s="7">
        <v>5.4266000000000002E-2</v>
      </c>
      <c r="C820" s="7">
        <f t="shared" si="12"/>
        <v>1.1457913831102839</v>
      </c>
    </row>
    <row r="821" spans="1:3" x14ac:dyDescent="0.3">
      <c r="A821" s="6" t="s">
        <v>820</v>
      </c>
      <c r="B821" s="7">
        <v>5.4266000000000002E-2</v>
      </c>
      <c r="C821" s="7">
        <f t="shared" si="12"/>
        <v>1.1457913831102839</v>
      </c>
    </row>
    <row r="822" spans="1:3" x14ac:dyDescent="0.3">
      <c r="A822" s="6" t="s">
        <v>821</v>
      </c>
      <c r="B822" s="7">
        <v>5.4266000000000002E-2</v>
      </c>
      <c r="C822" s="7">
        <f t="shared" si="12"/>
        <v>1.1457913831102839</v>
      </c>
    </row>
    <row r="823" spans="1:3" x14ac:dyDescent="0.3">
      <c r="A823" s="6" t="s">
        <v>822</v>
      </c>
      <c r="B823" s="7">
        <v>5.4266000000000002E-2</v>
      </c>
      <c r="C823" s="7">
        <f t="shared" si="12"/>
        <v>1.1457913831102839</v>
      </c>
    </row>
    <row r="824" spans="1:3" x14ac:dyDescent="0.3">
      <c r="A824" s="6" t="s">
        <v>823</v>
      </c>
      <c r="B824" s="7">
        <v>5.4266000000000002E-2</v>
      </c>
      <c r="C824" s="7">
        <f t="shared" si="12"/>
        <v>1.1457913831102839</v>
      </c>
    </row>
    <row r="825" spans="1:3" x14ac:dyDescent="0.3">
      <c r="A825" s="6" t="s">
        <v>824</v>
      </c>
      <c r="B825" s="7">
        <v>5.4266000000000002E-2</v>
      </c>
      <c r="C825" s="7">
        <f t="shared" si="12"/>
        <v>1.1457913831102839</v>
      </c>
    </row>
    <row r="826" spans="1:3" x14ac:dyDescent="0.3">
      <c r="A826" s="6" t="s">
        <v>825</v>
      </c>
      <c r="B826" s="7">
        <v>5.4266000000000002E-2</v>
      </c>
      <c r="C826" s="7">
        <f t="shared" si="12"/>
        <v>1.1457913831102839</v>
      </c>
    </row>
    <row r="827" spans="1:3" x14ac:dyDescent="0.3">
      <c r="A827" s="6" t="s">
        <v>826</v>
      </c>
      <c r="B827" s="7">
        <v>5.4266000000000002E-2</v>
      </c>
      <c r="C827" s="7">
        <f t="shared" si="12"/>
        <v>1.1457913831102839</v>
      </c>
    </row>
    <row r="828" spans="1:3" x14ac:dyDescent="0.3">
      <c r="A828" s="6" t="s">
        <v>827</v>
      </c>
      <c r="B828" s="7">
        <v>5.4266000000000002E-2</v>
      </c>
      <c r="C828" s="7">
        <f t="shared" si="12"/>
        <v>1.1457913831102839</v>
      </c>
    </row>
    <row r="829" spans="1:3" x14ac:dyDescent="0.3">
      <c r="A829" s="6" t="s">
        <v>828</v>
      </c>
      <c r="B829" s="7">
        <v>5.4266000000000002E-2</v>
      </c>
      <c r="C829" s="7">
        <f t="shared" si="12"/>
        <v>1.1457913831102839</v>
      </c>
    </row>
    <row r="830" spans="1:3" x14ac:dyDescent="0.3">
      <c r="A830" s="6" t="s">
        <v>829</v>
      </c>
      <c r="B830" s="7">
        <v>5.4266000000000002E-2</v>
      </c>
      <c r="C830" s="7">
        <f t="shared" si="12"/>
        <v>1.1457913831102839</v>
      </c>
    </row>
    <row r="831" spans="1:3" x14ac:dyDescent="0.3">
      <c r="A831" s="6" t="s">
        <v>830</v>
      </c>
      <c r="B831" s="7">
        <v>5.4266000000000002E-2</v>
      </c>
      <c r="C831" s="7">
        <f t="shared" si="12"/>
        <v>1.1457913831102839</v>
      </c>
    </row>
    <row r="832" spans="1:3" x14ac:dyDescent="0.3">
      <c r="A832" s="6" t="s">
        <v>831</v>
      </c>
      <c r="B832" s="7">
        <v>5.4266000000000002E-2</v>
      </c>
      <c r="C832" s="7">
        <f t="shared" si="12"/>
        <v>1.1457913831102839</v>
      </c>
    </row>
    <row r="833" spans="1:3" x14ac:dyDescent="0.3">
      <c r="A833" s="6" t="s">
        <v>832</v>
      </c>
      <c r="B833" s="7">
        <v>5.4266000000000002E-2</v>
      </c>
      <c r="C833" s="7">
        <f t="shared" si="12"/>
        <v>1.1457913831102839</v>
      </c>
    </row>
    <row r="834" spans="1:3" x14ac:dyDescent="0.3">
      <c r="A834" s="6" t="s">
        <v>833</v>
      </c>
      <c r="B834" s="7">
        <v>5.4266000000000002E-2</v>
      </c>
      <c r="C834" s="7">
        <f t="shared" si="12"/>
        <v>1.1457913831102839</v>
      </c>
    </row>
    <row r="835" spans="1:3" x14ac:dyDescent="0.3">
      <c r="A835" s="6" t="s">
        <v>834</v>
      </c>
      <c r="B835" s="7">
        <v>5.4266000000000002E-2</v>
      </c>
      <c r="C835" s="7">
        <f t="shared" si="12"/>
        <v>1.1457913831102839</v>
      </c>
    </row>
    <row r="836" spans="1:3" x14ac:dyDescent="0.3">
      <c r="A836" s="6" t="s">
        <v>835</v>
      </c>
      <c r="B836" s="7">
        <v>5.4266000000000002E-2</v>
      </c>
      <c r="C836" s="7">
        <f t="shared" si="12"/>
        <v>1.1457913831102839</v>
      </c>
    </row>
    <row r="837" spans="1:3" x14ac:dyDescent="0.3">
      <c r="A837" s="6" t="s">
        <v>836</v>
      </c>
      <c r="B837" s="7">
        <v>5.4266000000000002E-2</v>
      </c>
      <c r="C837" s="7">
        <f t="shared" si="12"/>
        <v>1.1457913831102839</v>
      </c>
    </row>
    <row r="838" spans="1:3" x14ac:dyDescent="0.3">
      <c r="A838" s="6" t="s">
        <v>837</v>
      </c>
      <c r="B838" s="7">
        <v>5.4266000000000002E-2</v>
      </c>
      <c r="C838" s="7">
        <f t="shared" si="12"/>
        <v>1.1457913831102839</v>
      </c>
    </row>
    <row r="839" spans="1:3" x14ac:dyDescent="0.3">
      <c r="A839" s="6" t="s">
        <v>838</v>
      </c>
      <c r="B839" s="7">
        <v>5.4266000000000002E-2</v>
      </c>
      <c r="C839" s="7">
        <f t="shared" si="12"/>
        <v>1.1457913831102839</v>
      </c>
    </row>
    <row r="840" spans="1:3" x14ac:dyDescent="0.3">
      <c r="A840" s="6" t="s">
        <v>839</v>
      </c>
      <c r="B840" s="7">
        <v>5.4266000000000002E-2</v>
      </c>
      <c r="C840" s="7">
        <f t="shared" ref="C840:C903" si="13">((1+B840/100)^21-1)*100</f>
        <v>1.1457913831102839</v>
      </c>
    </row>
    <row r="841" spans="1:3" x14ac:dyDescent="0.3">
      <c r="A841" s="6" t="s">
        <v>840</v>
      </c>
      <c r="B841" s="7">
        <v>5.4266000000000002E-2</v>
      </c>
      <c r="C841" s="7">
        <f t="shared" si="13"/>
        <v>1.1457913831102839</v>
      </c>
    </row>
    <row r="842" spans="1:3" x14ac:dyDescent="0.3">
      <c r="A842" s="6" t="s">
        <v>841</v>
      </c>
      <c r="B842" s="7">
        <v>5.3400000000000003E-2</v>
      </c>
      <c r="C842" s="7">
        <f t="shared" si="13"/>
        <v>1.1274085771043385</v>
      </c>
    </row>
    <row r="843" spans="1:3" x14ac:dyDescent="0.3">
      <c r="A843" s="6" t="s">
        <v>842</v>
      </c>
      <c r="B843" s="7">
        <v>5.3400000000000003E-2</v>
      </c>
      <c r="C843" s="7">
        <f t="shared" si="13"/>
        <v>1.1274085771043385</v>
      </c>
    </row>
    <row r="844" spans="1:3" x14ac:dyDescent="0.3">
      <c r="A844" s="6" t="s">
        <v>843</v>
      </c>
      <c r="B844" s="7">
        <v>5.3400000000000003E-2</v>
      </c>
      <c r="C844" s="7">
        <f t="shared" si="13"/>
        <v>1.1274085771043385</v>
      </c>
    </row>
    <row r="845" spans="1:3" x14ac:dyDescent="0.3">
      <c r="A845" s="6" t="s">
        <v>844</v>
      </c>
      <c r="B845" s="7">
        <v>5.3400000000000003E-2</v>
      </c>
      <c r="C845" s="7">
        <f t="shared" si="13"/>
        <v>1.1274085771043385</v>
      </c>
    </row>
    <row r="846" spans="1:3" x14ac:dyDescent="0.3">
      <c r="A846" s="6" t="s">
        <v>845</v>
      </c>
      <c r="B846" s="7">
        <v>5.3400000000000003E-2</v>
      </c>
      <c r="C846" s="7">
        <f t="shared" si="13"/>
        <v>1.1274085771043385</v>
      </c>
    </row>
    <row r="847" spans="1:3" x14ac:dyDescent="0.3">
      <c r="A847" s="6" t="s">
        <v>846</v>
      </c>
      <c r="B847" s="7">
        <v>5.3400000000000003E-2</v>
      </c>
      <c r="C847" s="7">
        <f t="shared" si="13"/>
        <v>1.1274085771043385</v>
      </c>
    </row>
    <row r="848" spans="1:3" x14ac:dyDescent="0.3">
      <c r="A848" s="6" t="s">
        <v>847</v>
      </c>
      <c r="B848" s="7">
        <v>5.3400000000000003E-2</v>
      </c>
      <c r="C848" s="7">
        <f t="shared" si="13"/>
        <v>1.1274085771043385</v>
      </c>
    </row>
    <row r="849" spans="1:3" x14ac:dyDescent="0.3">
      <c r="A849" s="6" t="s">
        <v>848</v>
      </c>
      <c r="B849" s="7">
        <v>5.3400000000000003E-2</v>
      </c>
      <c r="C849" s="7">
        <f t="shared" si="13"/>
        <v>1.1274085771043385</v>
      </c>
    </row>
    <row r="850" spans="1:3" x14ac:dyDescent="0.3">
      <c r="A850" s="6" t="s">
        <v>849</v>
      </c>
      <c r="B850" s="7">
        <v>5.3400000000000003E-2</v>
      </c>
      <c r="C850" s="7">
        <f t="shared" si="13"/>
        <v>1.1274085771043385</v>
      </c>
    </row>
    <row r="851" spans="1:3" x14ac:dyDescent="0.3">
      <c r="A851" s="6" t="s">
        <v>850</v>
      </c>
      <c r="B851" s="7">
        <v>5.3400000000000003E-2</v>
      </c>
      <c r="C851" s="7">
        <f t="shared" si="13"/>
        <v>1.1274085771043385</v>
      </c>
    </row>
    <row r="852" spans="1:3" x14ac:dyDescent="0.3">
      <c r="A852" s="6" t="s">
        <v>851</v>
      </c>
      <c r="B852" s="7">
        <v>5.3400000000000003E-2</v>
      </c>
      <c r="C852" s="7">
        <f t="shared" si="13"/>
        <v>1.1274085771043385</v>
      </c>
    </row>
    <row r="853" spans="1:3" x14ac:dyDescent="0.3">
      <c r="A853" s="6" t="s">
        <v>852</v>
      </c>
      <c r="B853" s="7">
        <v>5.3400000000000003E-2</v>
      </c>
      <c r="C853" s="7">
        <f t="shared" si="13"/>
        <v>1.1274085771043385</v>
      </c>
    </row>
    <row r="854" spans="1:3" x14ac:dyDescent="0.3">
      <c r="A854" s="6" t="s">
        <v>853</v>
      </c>
      <c r="B854" s="7">
        <v>5.3400000000000003E-2</v>
      </c>
      <c r="C854" s="7">
        <f t="shared" si="13"/>
        <v>1.1274085771043385</v>
      </c>
    </row>
    <row r="855" spans="1:3" x14ac:dyDescent="0.3">
      <c r="A855" s="6" t="s">
        <v>854</v>
      </c>
      <c r="B855" s="7">
        <v>5.3400000000000003E-2</v>
      </c>
      <c r="C855" s="7">
        <f t="shared" si="13"/>
        <v>1.1274085771043385</v>
      </c>
    </row>
    <row r="856" spans="1:3" x14ac:dyDescent="0.3">
      <c r="A856" s="6" t="s">
        <v>855</v>
      </c>
      <c r="B856" s="7">
        <v>5.3400000000000003E-2</v>
      </c>
      <c r="C856" s="7">
        <f t="shared" si="13"/>
        <v>1.1274085771043385</v>
      </c>
    </row>
    <row r="857" spans="1:3" x14ac:dyDescent="0.3">
      <c r="A857" s="6" t="s">
        <v>856</v>
      </c>
      <c r="B857" s="7">
        <v>5.3400000000000003E-2</v>
      </c>
      <c r="C857" s="7">
        <f t="shared" si="13"/>
        <v>1.1274085771043385</v>
      </c>
    </row>
    <row r="858" spans="1:3" x14ac:dyDescent="0.3">
      <c r="A858" s="6" t="s">
        <v>857</v>
      </c>
      <c r="B858" s="7">
        <v>5.3400000000000003E-2</v>
      </c>
      <c r="C858" s="7">
        <f t="shared" si="13"/>
        <v>1.1274085771043385</v>
      </c>
    </row>
    <row r="859" spans="1:3" x14ac:dyDescent="0.3">
      <c r="A859" s="6" t="s">
        <v>858</v>
      </c>
      <c r="B859" s="7">
        <v>5.3400000000000003E-2</v>
      </c>
      <c r="C859" s="7">
        <f t="shared" si="13"/>
        <v>1.1274085771043385</v>
      </c>
    </row>
    <row r="860" spans="1:3" x14ac:dyDescent="0.3">
      <c r="A860" s="6" t="s">
        <v>859</v>
      </c>
      <c r="B860" s="7">
        <v>5.3400000000000003E-2</v>
      </c>
      <c r="C860" s="7">
        <f t="shared" si="13"/>
        <v>1.1274085771043385</v>
      </c>
    </row>
    <row r="861" spans="1:3" x14ac:dyDescent="0.3">
      <c r="A861" s="6" t="s">
        <v>860</v>
      </c>
      <c r="B861" s="7">
        <v>5.3400000000000003E-2</v>
      </c>
      <c r="C861" s="7">
        <f t="shared" si="13"/>
        <v>1.1274085771043385</v>
      </c>
    </row>
    <row r="862" spans="1:3" x14ac:dyDescent="0.3">
      <c r="A862" s="6" t="s">
        <v>861</v>
      </c>
      <c r="B862" s="7">
        <v>5.3400000000000003E-2</v>
      </c>
      <c r="C862" s="7">
        <f t="shared" si="13"/>
        <v>1.1274085771043385</v>
      </c>
    </row>
    <row r="863" spans="1:3" x14ac:dyDescent="0.3">
      <c r="A863" s="6" t="s">
        <v>862</v>
      </c>
      <c r="B863" s="7">
        <v>5.3400000000000003E-2</v>
      </c>
      <c r="C863" s="7">
        <f t="shared" si="13"/>
        <v>1.1274085771043385</v>
      </c>
    </row>
    <row r="864" spans="1:3" x14ac:dyDescent="0.3">
      <c r="A864" s="6" t="s">
        <v>863</v>
      </c>
      <c r="B864" s="7">
        <v>5.3400000000000003E-2</v>
      </c>
      <c r="C864" s="7">
        <f t="shared" si="13"/>
        <v>1.1274085771043385</v>
      </c>
    </row>
    <row r="865" spans="1:3" x14ac:dyDescent="0.3">
      <c r="A865" s="6" t="s">
        <v>864</v>
      </c>
      <c r="B865" s="7">
        <v>5.3400000000000003E-2</v>
      </c>
      <c r="C865" s="7">
        <f t="shared" si="13"/>
        <v>1.1274085771043385</v>
      </c>
    </row>
    <row r="866" spans="1:3" x14ac:dyDescent="0.3">
      <c r="A866" s="6" t="s">
        <v>865</v>
      </c>
      <c r="B866" s="7">
        <v>5.3400000000000003E-2</v>
      </c>
      <c r="C866" s="7">
        <f t="shared" si="13"/>
        <v>1.1274085771043385</v>
      </c>
    </row>
    <row r="867" spans="1:3" x14ac:dyDescent="0.3">
      <c r="A867" s="6" t="s">
        <v>866</v>
      </c>
      <c r="B867" s="7">
        <v>5.3400000000000003E-2</v>
      </c>
      <c r="C867" s="7">
        <f t="shared" si="13"/>
        <v>1.1274085771043385</v>
      </c>
    </row>
    <row r="868" spans="1:3" x14ac:dyDescent="0.3">
      <c r="A868" s="6" t="s">
        <v>867</v>
      </c>
      <c r="B868" s="7">
        <v>5.3400000000000003E-2</v>
      </c>
      <c r="C868" s="7">
        <f t="shared" si="13"/>
        <v>1.1274085771043385</v>
      </c>
    </row>
    <row r="869" spans="1:3" x14ac:dyDescent="0.3">
      <c r="A869" s="6" t="s">
        <v>868</v>
      </c>
      <c r="B869" s="7">
        <v>5.3400000000000003E-2</v>
      </c>
      <c r="C869" s="7">
        <f t="shared" si="13"/>
        <v>1.1274085771043385</v>
      </c>
    </row>
    <row r="870" spans="1:3" x14ac:dyDescent="0.3">
      <c r="A870" s="6" t="s">
        <v>869</v>
      </c>
      <c r="B870" s="7">
        <v>5.3400000000000003E-2</v>
      </c>
      <c r="C870" s="7">
        <f t="shared" si="13"/>
        <v>1.1274085771043385</v>
      </c>
    </row>
    <row r="871" spans="1:3" x14ac:dyDescent="0.3">
      <c r="A871" s="6" t="s">
        <v>870</v>
      </c>
      <c r="B871" s="7">
        <v>5.3400000000000003E-2</v>
      </c>
      <c r="C871" s="7">
        <f t="shared" si="13"/>
        <v>1.1274085771043385</v>
      </c>
    </row>
    <row r="872" spans="1:3" x14ac:dyDescent="0.3">
      <c r="A872" s="6" t="s">
        <v>871</v>
      </c>
      <c r="B872" s="7">
        <v>5.3400000000000003E-2</v>
      </c>
      <c r="C872" s="7">
        <f t="shared" si="13"/>
        <v>1.1274085771043385</v>
      </c>
    </row>
    <row r="873" spans="1:3" x14ac:dyDescent="0.3">
      <c r="A873" s="6" t="s">
        <v>872</v>
      </c>
      <c r="B873" s="7">
        <v>5.3400000000000003E-2</v>
      </c>
      <c r="C873" s="7">
        <f t="shared" si="13"/>
        <v>1.1274085771043385</v>
      </c>
    </row>
    <row r="874" spans="1:3" x14ac:dyDescent="0.3">
      <c r="A874" s="6" t="s">
        <v>873</v>
      </c>
      <c r="B874" s="7">
        <v>5.3400000000000003E-2</v>
      </c>
      <c r="C874" s="7">
        <f t="shared" si="13"/>
        <v>1.1274085771043385</v>
      </c>
    </row>
    <row r="875" spans="1:3" x14ac:dyDescent="0.3">
      <c r="A875" s="6" t="s">
        <v>874</v>
      </c>
      <c r="B875" s="7">
        <v>5.2531000000000001E-2</v>
      </c>
      <c r="C875" s="7">
        <f t="shared" si="13"/>
        <v>1.1089652878024658</v>
      </c>
    </row>
    <row r="876" spans="1:3" x14ac:dyDescent="0.3">
      <c r="A876" s="6" t="s">
        <v>875</v>
      </c>
      <c r="B876" s="7">
        <v>5.2531000000000001E-2</v>
      </c>
      <c r="C876" s="7">
        <f t="shared" si="13"/>
        <v>1.1089652878024658</v>
      </c>
    </row>
    <row r="877" spans="1:3" x14ac:dyDescent="0.3">
      <c r="A877" s="6" t="s">
        <v>876</v>
      </c>
      <c r="B877" s="7">
        <v>5.2531000000000001E-2</v>
      </c>
      <c r="C877" s="7">
        <f t="shared" si="13"/>
        <v>1.1089652878024658</v>
      </c>
    </row>
    <row r="878" spans="1:3" x14ac:dyDescent="0.3">
      <c r="A878" s="6" t="s">
        <v>877</v>
      </c>
      <c r="B878" s="7">
        <v>5.2531000000000001E-2</v>
      </c>
      <c r="C878" s="7">
        <f t="shared" si="13"/>
        <v>1.1089652878024658</v>
      </c>
    </row>
    <row r="879" spans="1:3" x14ac:dyDescent="0.3">
      <c r="A879" s="6" t="s">
        <v>878</v>
      </c>
      <c r="B879" s="7">
        <v>5.2531000000000001E-2</v>
      </c>
      <c r="C879" s="7">
        <f t="shared" si="13"/>
        <v>1.1089652878024658</v>
      </c>
    </row>
    <row r="880" spans="1:3" x14ac:dyDescent="0.3">
      <c r="A880" s="6" t="s">
        <v>879</v>
      </c>
      <c r="B880" s="7">
        <v>5.2531000000000001E-2</v>
      </c>
      <c r="C880" s="7">
        <f t="shared" si="13"/>
        <v>1.1089652878024658</v>
      </c>
    </row>
    <row r="881" spans="1:3" x14ac:dyDescent="0.3">
      <c r="A881" s="6" t="s">
        <v>880</v>
      </c>
      <c r="B881" s="7">
        <v>5.2531000000000001E-2</v>
      </c>
      <c r="C881" s="7">
        <f t="shared" si="13"/>
        <v>1.1089652878024658</v>
      </c>
    </row>
    <row r="882" spans="1:3" x14ac:dyDescent="0.3">
      <c r="A882" s="6" t="s">
        <v>881</v>
      </c>
      <c r="B882" s="7">
        <v>5.2531000000000001E-2</v>
      </c>
      <c r="C882" s="7">
        <f t="shared" si="13"/>
        <v>1.1089652878024658</v>
      </c>
    </row>
    <row r="883" spans="1:3" x14ac:dyDescent="0.3">
      <c r="A883" s="6" t="s">
        <v>882</v>
      </c>
      <c r="B883" s="7">
        <v>5.2531000000000001E-2</v>
      </c>
      <c r="C883" s="7">
        <f t="shared" si="13"/>
        <v>1.1089652878024658</v>
      </c>
    </row>
    <row r="884" spans="1:3" x14ac:dyDescent="0.3">
      <c r="A884" s="6" t="s">
        <v>883</v>
      </c>
      <c r="B884" s="7">
        <v>5.2531000000000001E-2</v>
      </c>
      <c r="C884" s="7">
        <f t="shared" si="13"/>
        <v>1.1089652878024658</v>
      </c>
    </row>
    <row r="885" spans="1:3" x14ac:dyDescent="0.3">
      <c r="A885" s="6" t="s">
        <v>884</v>
      </c>
      <c r="B885" s="7">
        <v>5.2531000000000001E-2</v>
      </c>
      <c r="C885" s="7">
        <f t="shared" si="13"/>
        <v>1.1089652878024658</v>
      </c>
    </row>
    <row r="886" spans="1:3" x14ac:dyDescent="0.3">
      <c r="A886" s="6" t="s">
        <v>885</v>
      </c>
      <c r="B886" s="7">
        <v>5.2531000000000001E-2</v>
      </c>
      <c r="C886" s="7">
        <f t="shared" si="13"/>
        <v>1.1089652878024658</v>
      </c>
    </row>
    <row r="887" spans="1:3" x14ac:dyDescent="0.3">
      <c r="A887" s="6" t="s">
        <v>886</v>
      </c>
      <c r="B887" s="7">
        <v>5.2531000000000001E-2</v>
      </c>
      <c r="C887" s="7">
        <f t="shared" si="13"/>
        <v>1.1089652878024658</v>
      </c>
    </row>
    <row r="888" spans="1:3" x14ac:dyDescent="0.3">
      <c r="A888" s="6" t="s">
        <v>887</v>
      </c>
      <c r="B888" s="7">
        <v>5.2531000000000001E-2</v>
      </c>
      <c r="C888" s="7">
        <f t="shared" si="13"/>
        <v>1.1089652878024658</v>
      </c>
    </row>
    <row r="889" spans="1:3" x14ac:dyDescent="0.3">
      <c r="A889" s="6" t="s">
        <v>888</v>
      </c>
      <c r="B889" s="7">
        <v>5.2531000000000001E-2</v>
      </c>
      <c r="C889" s="7">
        <f t="shared" si="13"/>
        <v>1.1089652878024658</v>
      </c>
    </row>
    <row r="890" spans="1:3" x14ac:dyDescent="0.3">
      <c r="A890" s="6" t="s">
        <v>889</v>
      </c>
      <c r="B890" s="7">
        <v>5.2531000000000001E-2</v>
      </c>
      <c r="C890" s="7">
        <f t="shared" si="13"/>
        <v>1.1089652878024658</v>
      </c>
    </row>
    <row r="891" spans="1:3" x14ac:dyDescent="0.3">
      <c r="A891" s="6" t="s">
        <v>890</v>
      </c>
      <c r="B891" s="7">
        <v>5.2531000000000001E-2</v>
      </c>
      <c r="C891" s="7">
        <f t="shared" si="13"/>
        <v>1.1089652878024658</v>
      </c>
    </row>
    <row r="892" spans="1:3" x14ac:dyDescent="0.3">
      <c r="A892" s="6" t="s">
        <v>891</v>
      </c>
      <c r="B892" s="7">
        <v>5.2531000000000001E-2</v>
      </c>
      <c r="C892" s="7">
        <f t="shared" si="13"/>
        <v>1.1089652878024658</v>
      </c>
    </row>
    <row r="893" spans="1:3" x14ac:dyDescent="0.3">
      <c r="A893" s="6" t="s">
        <v>892</v>
      </c>
      <c r="B893" s="7">
        <v>5.2531000000000001E-2</v>
      </c>
      <c r="C893" s="7">
        <f t="shared" si="13"/>
        <v>1.1089652878024658</v>
      </c>
    </row>
    <row r="894" spans="1:3" x14ac:dyDescent="0.3">
      <c r="A894" s="6" t="s">
        <v>893</v>
      </c>
      <c r="B894" s="7">
        <v>5.2531000000000001E-2</v>
      </c>
      <c r="C894" s="7">
        <f t="shared" si="13"/>
        <v>1.1089652878024658</v>
      </c>
    </row>
    <row r="895" spans="1:3" x14ac:dyDescent="0.3">
      <c r="A895" s="6" t="s">
        <v>894</v>
      </c>
      <c r="B895" s="7">
        <v>5.2531000000000001E-2</v>
      </c>
      <c r="C895" s="7">
        <f t="shared" si="13"/>
        <v>1.1089652878024658</v>
      </c>
    </row>
    <row r="896" spans="1:3" x14ac:dyDescent="0.3">
      <c r="A896" s="6" t="s">
        <v>895</v>
      </c>
      <c r="B896" s="7">
        <v>5.2531000000000001E-2</v>
      </c>
      <c r="C896" s="7">
        <f t="shared" si="13"/>
        <v>1.1089652878024658</v>
      </c>
    </row>
    <row r="897" spans="1:3" x14ac:dyDescent="0.3">
      <c r="A897" s="6" t="s">
        <v>896</v>
      </c>
      <c r="B897" s="7">
        <v>5.2531000000000001E-2</v>
      </c>
      <c r="C897" s="7">
        <f t="shared" si="13"/>
        <v>1.1089652878024658</v>
      </c>
    </row>
    <row r="898" spans="1:3" x14ac:dyDescent="0.3">
      <c r="A898" s="6" t="s">
        <v>897</v>
      </c>
      <c r="B898" s="7">
        <v>5.2531000000000001E-2</v>
      </c>
      <c r="C898" s="7">
        <f t="shared" si="13"/>
        <v>1.1089652878024658</v>
      </c>
    </row>
    <row r="899" spans="1:3" x14ac:dyDescent="0.3">
      <c r="A899" s="6" t="s">
        <v>898</v>
      </c>
      <c r="B899" s="7">
        <v>5.2531000000000001E-2</v>
      </c>
      <c r="C899" s="7">
        <f t="shared" si="13"/>
        <v>1.1089652878024658</v>
      </c>
    </row>
    <row r="900" spans="1:3" x14ac:dyDescent="0.3">
      <c r="A900" s="6" t="s">
        <v>899</v>
      </c>
      <c r="B900" s="7">
        <v>5.2531000000000001E-2</v>
      </c>
      <c r="C900" s="7">
        <f t="shared" si="13"/>
        <v>1.1089652878024658</v>
      </c>
    </row>
    <row r="901" spans="1:3" x14ac:dyDescent="0.3">
      <c r="A901" s="6" t="s">
        <v>900</v>
      </c>
      <c r="B901" s="7">
        <v>5.2531000000000001E-2</v>
      </c>
      <c r="C901" s="7">
        <f t="shared" si="13"/>
        <v>1.1089652878024658</v>
      </c>
    </row>
    <row r="902" spans="1:3" x14ac:dyDescent="0.3">
      <c r="A902" s="6" t="s">
        <v>901</v>
      </c>
      <c r="B902" s="7">
        <v>5.2531000000000001E-2</v>
      </c>
      <c r="C902" s="7">
        <f t="shared" si="13"/>
        <v>1.1089652878024658</v>
      </c>
    </row>
    <row r="903" spans="1:3" x14ac:dyDescent="0.3">
      <c r="A903" s="6" t="s">
        <v>902</v>
      </c>
      <c r="B903" s="7">
        <v>5.2531000000000001E-2</v>
      </c>
      <c r="C903" s="7">
        <f t="shared" si="13"/>
        <v>1.1089652878024658</v>
      </c>
    </row>
    <row r="904" spans="1:3" x14ac:dyDescent="0.3">
      <c r="A904" s="6" t="s">
        <v>903</v>
      </c>
      <c r="B904" s="7">
        <v>5.2531000000000001E-2</v>
      </c>
      <c r="C904" s="7">
        <f t="shared" ref="C904:C967" si="14">((1+B904/100)^21-1)*100</f>
        <v>1.1089652878024658</v>
      </c>
    </row>
    <row r="905" spans="1:3" x14ac:dyDescent="0.3">
      <c r="A905" s="6" t="s">
        <v>904</v>
      </c>
      <c r="B905" s="7">
        <v>5.2531000000000001E-2</v>
      </c>
      <c r="C905" s="7">
        <f t="shared" si="14"/>
        <v>1.1089652878024658</v>
      </c>
    </row>
    <row r="906" spans="1:3" x14ac:dyDescent="0.3">
      <c r="A906" s="6" t="s">
        <v>905</v>
      </c>
      <c r="B906" s="7">
        <v>5.2531000000000001E-2</v>
      </c>
      <c r="C906" s="7">
        <f t="shared" si="14"/>
        <v>1.1089652878024658</v>
      </c>
    </row>
    <row r="907" spans="1:3" x14ac:dyDescent="0.3">
      <c r="A907" s="6" t="s">
        <v>906</v>
      </c>
      <c r="B907" s="7">
        <v>5.2531000000000001E-2</v>
      </c>
      <c r="C907" s="7">
        <f t="shared" si="14"/>
        <v>1.1089652878024658</v>
      </c>
    </row>
    <row r="908" spans="1:3" x14ac:dyDescent="0.3">
      <c r="A908" s="6" t="s">
        <v>907</v>
      </c>
      <c r="B908" s="7">
        <v>5.2531000000000001E-2</v>
      </c>
      <c r="C908" s="7">
        <f t="shared" si="14"/>
        <v>1.1089652878024658</v>
      </c>
    </row>
    <row r="909" spans="1:3" x14ac:dyDescent="0.3">
      <c r="A909" s="6" t="s">
        <v>908</v>
      </c>
      <c r="B909" s="7">
        <v>5.2531000000000001E-2</v>
      </c>
      <c r="C909" s="7">
        <f t="shared" si="14"/>
        <v>1.1089652878024658</v>
      </c>
    </row>
    <row r="910" spans="1:3" x14ac:dyDescent="0.3">
      <c r="A910" s="6" t="s">
        <v>909</v>
      </c>
      <c r="B910" s="7">
        <v>5.1659999999999998E-2</v>
      </c>
      <c r="C910" s="7">
        <f t="shared" si="14"/>
        <v>1.0904827658946292</v>
      </c>
    </row>
    <row r="911" spans="1:3" x14ac:dyDescent="0.3">
      <c r="A911" s="6" t="s">
        <v>910</v>
      </c>
      <c r="B911" s="7">
        <v>5.1659999999999998E-2</v>
      </c>
      <c r="C911" s="7">
        <f t="shared" si="14"/>
        <v>1.0904827658946292</v>
      </c>
    </row>
    <row r="912" spans="1:3" x14ac:dyDescent="0.3">
      <c r="A912" s="6" t="s">
        <v>911</v>
      </c>
      <c r="B912" s="7">
        <v>5.1659999999999998E-2</v>
      </c>
      <c r="C912" s="7">
        <f t="shared" si="14"/>
        <v>1.0904827658946292</v>
      </c>
    </row>
    <row r="913" spans="1:3" x14ac:dyDescent="0.3">
      <c r="A913" s="6" t="s">
        <v>912</v>
      </c>
      <c r="B913" s="7">
        <v>5.1659999999999998E-2</v>
      </c>
      <c r="C913" s="7">
        <f t="shared" si="14"/>
        <v>1.0904827658946292</v>
      </c>
    </row>
    <row r="914" spans="1:3" x14ac:dyDescent="0.3">
      <c r="A914" s="6" t="s">
        <v>913</v>
      </c>
      <c r="B914" s="7">
        <v>5.1659999999999998E-2</v>
      </c>
      <c r="C914" s="7">
        <f t="shared" si="14"/>
        <v>1.0904827658946292</v>
      </c>
    </row>
    <row r="915" spans="1:3" x14ac:dyDescent="0.3">
      <c r="A915" s="6" t="s">
        <v>914</v>
      </c>
      <c r="B915" s="7">
        <v>5.1659999999999998E-2</v>
      </c>
      <c r="C915" s="7">
        <f t="shared" si="14"/>
        <v>1.0904827658946292</v>
      </c>
    </row>
    <row r="916" spans="1:3" x14ac:dyDescent="0.3">
      <c r="A916" s="6" t="s">
        <v>915</v>
      </c>
      <c r="B916" s="7">
        <v>5.1659999999999998E-2</v>
      </c>
      <c r="C916" s="7">
        <f t="shared" si="14"/>
        <v>1.0904827658946292</v>
      </c>
    </row>
    <row r="917" spans="1:3" x14ac:dyDescent="0.3">
      <c r="A917" s="6" t="s">
        <v>916</v>
      </c>
      <c r="B917" s="7">
        <v>5.1659999999999998E-2</v>
      </c>
      <c r="C917" s="7">
        <f t="shared" si="14"/>
        <v>1.0904827658946292</v>
      </c>
    </row>
    <row r="918" spans="1:3" x14ac:dyDescent="0.3">
      <c r="A918" s="6" t="s">
        <v>917</v>
      </c>
      <c r="B918" s="7">
        <v>5.1659999999999998E-2</v>
      </c>
      <c r="C918" s="7">
        <f t="shared" si="14"/>
        <v>1.0904827658946292</v>
      </c>
    </row>
    <row r="919" spans="1:3" x14ac:dyDescent="0.3">
      <c r="A919" s="6" t="s">
        <v>918</v>
      </c>
      <c r="B919" s="7">
        <v>5.1659999999999998E-2</v>
      </c>
      <c r="C919" s="7">
        <f t="shared" si="14"/>
        <v>1.0904827658946292</v>
      </c>
    </row>
    <row r="920" spans="1:3" x14ac:dyDescent="0.3">
      <c r="A920" s="6" t="s">
        <v>919</v>
      </c>
      <c r="B920" s="7">
        <v>5.1659999999999998E-2</v>
      </c>
      <c r="C920" s="7">
        <f t="shared" si="14"/>
        <v>1.0904827658946292</v>
      </c>
    </row>
    <row r="921" spans="1:3" x14ac:dyDescent="0.3">
      <c r="A921" s="6" t="s">
        <v>920</v>
      </c>
      <c r="B921" s="7">
        <v>5.1659999999999998E-2</v>
      </c>
      <c r="C921" s="7">
        <f t="shared" si="14"/>
        <v>1.0904827658946292</v>
      </c>
    </row>
    <row r="922" spans="1:3" x14ac:dyDescent="0.3">
      <c r="A922" s="6" t="s">
        <v>921</v>
      </c>
      <c r="B922" s="7">
        <v>5.1659999999999998E-2</v>
      </c>
      <c r="C922" s="7">
        <f t="shared" si="14"/>
        <v>1.0904827658946292</v>
      </c>
    </row>
    <row r="923" spans="1:3" x14ac:dyDescent="0.3">
      <c r="A923" s="6" t="s">
        <v>922</v>
      </c>
      <c r="B923" s="7">
        <v>5.1659999999999998E-2</v>
      </c>
      <c r="C923" s="7">
        <f t="shared" si="14"/>
        <v>1.0904827658946292</v>
      </c>
    </row>
    <row r="924" spans="1:3" x14ac:dyDescent="0.3">
      <c r="A924" s="6" t="s">
        <v>923</v>
      </c>
      <c r="B924" s="7">
        <v>5.1659999999999998E-2</v>
      </c>
      <c r="C924" s="7">
        <f t="shared" si="14"/>
        <v>1.0904827658946292</v>
      </c>
    </row>
    <row r="925" spans="1:3" x14ac:dyDescent="0.3">
      <c r="A925" s="6" t="s">
        <v>924</v>
      </c>
      <c r="B925" s="7">
        <v>5.1659999999999998E-2</v>
      </c>
      <c r="C925" s="7">
        <f t="shared" si="14"/>
        <v>1.0904827658946292</v>
      </c>
    </row>
    <row r="926" spans="1:3" x14ac:dyDescent="0.3">
      <c r="A926" s="6" t="s">
        <v>925</v>
      </c>
      <c r="B926" s="7">
        <v>5.1659999999999998E-2</v>
      </c>
      <c r="C926" s="7">
        <f t="shared" si="14"/>
        <v>1.0904827658946292</v>
      </c>
    </row>
    <row r="927" spans="1:3" x14ac:dyDescent="0.3">
      <c r="A927" s="6" t="s">
        <v>926</v>
      </c>
      <c r="B927" s="7">
        <v>5.1659999999999998E-2</v>
      </c>
      <c r="C927" s="7">
        <f t="shared" si="14"/>
        <v>1.0904827658946292</v>
      </c>
    </row>
    <row r="928" spans="1:3" x14ac:dyDescent="0.3">
      <c r="A928" s="6" t="s">
        <v>927</v>
      </c>
      <c r="B928" s="7">
        <v>5.1659999999999998E-2</v>
      </c>
      <c r="C928" s="7">
        <f t="shared" si="14"/>
        <v>1.0904827658946292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7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6" customWidth="1"/>
    <col min="3" max="3" width="24" customWidth="1"/>
  </cols>
  <sheetData>
    <row r="1" spans="1:3" ht="17.399999999999999" x14ac:dyDescent="0.3">
      <c r="A1" s="1" t="s">
        <v>928</v>
      </c>
    </row>
    <row r="2" spans="1:3" x14ac:dyDescent="0.3">
      <c r="A2" s="2" t="s">
        <v>929</v>
      </c>
    </row>
    <row r="4" spans="1:3" x14ac:dyDescent="0.3">
      <c r="A4" s="3" t="s">
        <v>2</v>
      </c>
      <c r="C4" s="4">
        <f>AVERAGE(C8:C1347)</f>
        <v>1.0374095049875953</v>
      </c>
    </row>
    <row r="5" spans="1:3" x14ac:dyDescent="0.3">
      <c r="A5" s="3" t="s">
        <v>3</v>
      </c>
      <c r="C5" s="4">
        <f>_xlfn.STDEV.S(C8:C1347)</f>
        <v>0.11944757307617487</v>
      </c>
    </row>
    <row r="7" spans="1:3" x14ac:dyDescent="0.3">
      <c r="A7" s="5" t="s">
        <v>4</v>
      </c>
      <c r="B7" s="5" t="s">
        <v>930</v>
      </c>
      <c r="C7" s="5" t="s">
        <v>6</v>
      </c>
    </row>
    <row r="8" spans="1:3" x14ac:dyDescent="0.3">
      <c r="A8" s="6" t="s">
        <v>931</v>
      </c>
      <c r="B8" s="8">
        <v>13.75</v>
      </c>
      <c r="C8" s="7">
        <f t="shared" ref="C8:C71" si="0">((1+B8/100)^(1/12)-1)*100</f>
        <v>1.0793911082132235</v>
      </c>
    </row>
    <row r="9" spans="1:3" x14ac:dyDescent="0.3">
      <c r="A9" s="6" t="s">
        <v>7</v>
      </c>
      <c r="B9" s="8">
        <v>13.75</v>
      </c>
      <c r="C9" s="7">
        <f t="shared" si="0"/>
        <v>1.0793911082132235</v>
      </c>
    </row>
    <row r="10" spans="1:3" x14ac:dyDescent="0.3">
      <c r="A10" s="6" t="s">
        <v>8</v>
      </c>
      <c r="B10" s="8">
        <v>13.75</v>
      </c>
      <c r="C10" s="7">
        <f t="shared" si="0"/>
        <v>1.0793911082132235</v>
      </c>
    </row>
    <row r="11" spans="1:3" x14ac:dyDescent="0.3">
      <c r="A11" s="6" t="s">
        <v>9</v>
      </c>
      <c r="B11" s="8">
        <v>13.75</v>
      </c>
      <c r="C11" s="7">
        <f t="shared" si="0"/>
        <v>1.0793911082132235</v>
      </c>
    </row>
    <row r="12" spans="1:3" x14ac:dyDescent="0.3">
      <c r="A12" s="6" t="s">
        <v>10</v>
      </c>
      <c r="B12" s="8">
        <v>13.75</v>
      </c>
      <c r="C12" s="7">
        <f t="shared" si="0"/>
        <v>1.0793911082132235</v>
      </c>
    </row>
    <row r="13" spans="1:3" x14ac:dyDescent="0.3">
      <c r="A13" s="6" t="s">
        <v>11</v>
      </c>
      <c r="B13" s="8">
        <v>13.75</v>
      </c>
      <c r="C13" s="7">
        <f t="shared" si="0"/>
        <v>1.0793911082132235</v>
      </c>
    </row>
    <row r="14" spans="1:3" x14ac:dyDescent="0.3">
      <c r="A14" s="6" t="s">
        <v>932</v>
      </c>
      <c r="B14" s="8">
        <v>13.75</v>
      </c>
      <c r="C14" s="7">
        <f t="shared" si="0"/>
        <v>1.0793911082132235</v>
      </c>
    </row>
    <row r="15" spans="1:3" x14ac:dyDescent="0.3">
      <c r="A15" s="6" t="s">
        <v>933</v>
      </c>
      <c r="B15" s="8">
        <v>13.75</v>
      </c>
      <c r="C15" s="7">
        <f t="shared" si="0"/>
        <v>1.0793911082132235</v>
      </c>
    </row>
    <row r="16" spans="1:3" x14ac:dyDescent="0.3">
      <c r="A16" s="6" t="s">
        <v>12</v>
      </c>
      <c r="B16" s="8">
        <v>13.75</v>
      </c>
      <c r="C16" s="7">
        <f t="shared" si="0"/>
        <v>1.0793911082132235</v>
      </c>
    </row>
    <row r="17" spans="1:3" x14ac:dyDescent="0.3">
      <c r="A17" s="6" t="s">
        <v>13</v>
      </c>
      <c r="B17" s="8">
        <v>13.75</v>
      </c>
      <c r="C17" s="7">
        <f t="shared" si="0"/>
        <v>1.0793911082132235</v>
      </c>
    </row>
    <row r="18" spans="1:3" x14ac:dyDescent="0.3">
      <c r="A18" s="6" t="s">
        <v>14</v>
      </c>
      <c r="B18" s="8">
        <v>13.75</v>
      </c>
      <c r="C18" s="7">
        <f t="shared" si="0"/>
        <v>1.0793911082132235</v>
      </c>
    </row>
    <row r="19" spans="1:3" x14ac:dyDescent="0.3">
      <c r="A19" s="6" t="s">
        <v>15</v>
      </c>
      <c r="B19" s="8">
        <v>13.75</v>
      </c>
      <c r="C19" s="7">
        <f t="shared" si="0"/>
        <v>1.0793911082132235</v>
      </c>
    </row>
    <row r="20" spans="1:3" x14ac:dyDescent="0.3">
      <c r="A20" s="6" t="s">
        <v>16</v>
      </c>
      <c r="B20" s="8">
        <v>13.75</v>
      </c>
      <c r="C20" s="7">
        <f t="shared" si="0"/>
        <v>1.0793911082132235</v>
      </c>
    </row>
    <row r="21" spans="1:3" x14ac:dyDescent="0.3">
      <c r="A21" s="6" t="s">
        <v>934</v>
      </c>
      <c r="B21" s="8">
        <v>13.75</v>
      </c>
      <c r="C21" s="7">
        <f t="shared" si="0"/>
        <v>1.0793911082132235</v>
      </c>
    </row>
    <row r="22" spans="1:3" x14ac:dyDescent="0.3">
      <c r="A22" s="6" t="s">
        <v>935</v>
      </c>
      <c r="B22" s="8">
        <v>13.75</v>
      </c>
      <c r="C22" s="7">
        <f t="shared" si="0"/>
        <v>1.0793911082132235</v>
      </c>
    </row>
    <row r="23" spans="1:3" x14ac:dyDescent="0.3">
      <c r="A23" s="6" t="s">
        <v>17</v>
      </c>
      <c r="B23" s="8">
        <v>13.75</v>
      </c>
      <c r="C23" s="7">
        <f t="shared" si="0"/>
        <v>1.0793911082132235</v>
      </c>
    </row>
    <row r="24" spans="1:3" x14ac:dyDescent="0.3">
      <c r="A24" s="6" t="s">
        <v>18</v>
      </c>
      <c r="B24" s="8">
        <v>13.75</v>
      </c>
      <c r="C24" s="7">
        <f t="shared" si="0"/>
        <v>1.0793911082132235</v>
      </c>
    </row>
    <row r="25" spans="1:3" x14ac:dyDescent="0.3">
      <c r="A25" s="6" t="s">
        <v>19</v>
      </c>
      <c r="B25" s="8">
        <v>13.75</v>
      </c>
      <c r="C25" s="7">
        <f t="shared" si="0"/>
        <v>1.0793911082132235</v>
      </c>
    </row>
    <row r="26" spans="1:3" x14ac:dyDescent="0.3">
      <c r="A26" s="6" t="s">
        <v>20</v>
      </c>
      <c r="B26" s="8">
        <v>13.75</v>
      </c>
      <c r="C26" s="7">
        <f t="shared" si="0"/>
        <v>1.0793911082132235</v>
      </c>
    </row>
    <row r="27" spans="1:3" x14ac:dyDescent="0.3">
      <c r="A27" s="6" t="s">
        <v>21</v>
      </c>
      <c r="B27" s="8">
        <v>13.75</v>
      </c>
      <c r="C27" s="7">
        <f t="shared" si="0"/>
        <v>1.0793911082132235</v>
      </c>
    </row>
    <row r="28" spans="1:3" x14ac:dyDescent="0.3">
      <c r="A28" s="6" t="s">
        <v>936</v>
      </c>
      <c r="B28" s="8">
        <v>13.75</v>
      </c>
      <c r="C28" s="7">
        <f t="shared" si="0"/>
        <v>1.0793911082132235</v>
      </c>
    </row>
    <row r="29" spans="1:3" x14ac:dyDescent="0.3">
      <c r="A29" s="6" t="s">
        <v>937</v>
      </c>
      <c r="B29" s="8">
        <v>13.75</v>
      </c>
      <c r="C29" s="7">
        <f t="shared" si="0"/>
        <v>1.0793911082132235</v>
      </c>
    </row>
    <row r="30" spans="1:3" x14ac:dyDescent="0.3">
      <c r="A30" s="6" t="s">
        <v>22</v>
      </c>
      <c r="B30" s="8">
        <v>13.75</v>
      </c>
      <c r="C30" s="7">
        <f t="shared" si="0"/>
        <v>1.0793911082132235</v>
      </c>
    </row>
    <row r="31" spans="1:3" x14ac:dyDescent="0.3">
      <c r="A31" s="6" t="s">
        <v>23</v>
      </c>
      <c r="B31" s="8">
        <v>13.75</v>
      </c>
      <c r="C31" s="7">
        <f t="shared" si="0"/>
        <v>1.0793911082132235</v>
      </c>
    </row>
    <row r="32" spans="1:3" x14ac:dyDescent="0.3">
      <c r="A32" s="6" t="s">
        <v>24</v>
      </c>
      <c r="B32" s="8">
        <v>13.75</v>
      </c>
      <c r="C32" s="7">
        <f t="shared" si="0"/>
        <v>1.0793911082132235</v>
      </c>
    </row>
    <row r="33" spans="1:3" x14ac:dyDescent="0.3">
      <c r="A33" s="6" t="s">
        <v>25</v>
      </c>
      <c r="B33" s="8">
        <v>13.75</v>
      </c>
      <c r="C33" s="7">
        <f t="shared" si="0"/>
        <v>1.0793911082132235</v>
      </c>
    </row>
    <row r="34" spans="1:3" x14ac:dyDescent="0.3">
      <c r="A34" s="6" t="s">
        <v>26</v>
      </c>
      <c r="B34" s="8">
        <v>13.75</v>
      </c>
      <c r="C34" s="7">
        <f t="shared" si="0"/>
        <v>1.0793911082132235</v>
      </c>
    </row>
    <row r="35" spans="1:3" x14ac:dyDescent="0.3">
      <c r="A35" s="6" t="s">
        <v>938</v>
      </c>
      <c r="B35" s="8">
        <v>13.75</v>
      </c>
      <c r="C35" s="7">
        <f t="shared" si="0"/>
        <v>1.0793911082132235</v>
      </c>
    </row>
    <row r="36" spans="1:3" x14ac:dyDescent="0.3">
      <c r="A36" s="6" t="s">
        <v>939</v>
      </c>
      <c r="B36" s="8">
        <v>13.75</v>
      </c>
      <c r="C36" s="7">
        <f t="shared" si="0"/>
        <v>1.0793911082132235</v>
      </c>
    </row>
    <row r="37" spans="1:3" x14ac:dyDescent="0.3">
      <c r="A37" s="6" t="s">
        <v>27</v>
      </c>
      <c r="B37" s="8">
        <v>13.75</v>
      </c>
      <c r="C37" s="7">
        <f t="shared" si="0"/>
        <v>1.0793911082132235</v>
      </c>
    </row>
    <row r="38" spans="1:3" x14ac:dyDescent="0.3">
      <c r="A38" s="6" t="s">
        <v>28</v>
      </c>
      <c r="B38" s="8">
        <v>13.75</v>
      </c>
      <c r="C38" s="7">
        <f t="shared" si="0"/>
        <v>1.0793911082132235</v>
      </c>
    </row>
    <row r="39" spans="1:3" x14ac:dyDescent="0.3">
      <c r="A39" s="6" t="s">
        <v>29</v>
      </c>
      <c r="B39" s="8">
        <v>13.75</v>
      </c>
      <c r="C39" s="7">
        <f t="shared" si="0"/>
        <v>1.0793911082132235</v>
      </c>
    </row>
    <row r="40" spans="1:3" x14ac:dyDescent="0.3">
      <c r="A40" s="6" t="s">
        <v>30</v>
      </c>
      <c r="B40" s="8">
        <v>13.75</v>
      </c>
      <c r="C40" s="7">
        <f t="shared" si="0"/>
        <v>1.0793911082132235</v>
      </c>
    </row>
    <row r="41" spans="1:3" x14ac:dyDescent="0.3">
      <c r="A41" s="6" t="s">
        <v>31</v>
      </c>
      <c r="B41" s="8">
        <v>13.75</v>
      </c>
      <c r="C41" s="7">
        <f t="shared" si="0"/>
        <v>1.0793911082132235</v>
      </c>
    </row>
    <row r="42" spans="1:3" x14ac:dyDescent="0.3">
      <c r="A42" s="6" t="s">
        <v>940</v>
      </c>
      <c r="B42" s="8">
        <v>13.75</v>
      </c>
      <c r="C42" s="7">
        <f t="shared" si="0"/>
        <v>1.0793911082132235</v>
      </c>
    </row>
    <row r="43" spans="1:3" x14ac:dyDescent="0.3">
      <c r="A43" s="6" t="s">
        <v>941</v>
      </c>
      <c r="B43" s="8">
        <v>13.75</v>
      </c>
      <c r="C43" s="7">
        <f t="shared" si="0"/>
        <v>1.0793911082132235</v>
      </c>
    </row>
    <row r="44" spans="1:3" x14ac:dyDescent="0.3">
      <c r="A44" s="6" t="s">
        <v>32</v>
      </c>
      <c r="B44" s="8">
        <v>13.75</v>
      </c>
      <c r="C44" s="7">
        <f t="shared" si="0"/>
        <v>1.0793911082132235</v>
      </c>
    </row>
    <row r="45" spans="1:3" x14ac:dyDescent="0.3">
      <c r="A45" s="6" t="s">
        <v>33</v>
      </c>
      <c r="B45" s="8">
        <v>13.75</v>
      </c>
      <c r="C45" s="7">
        <f t="shared" si="0"/>
        <v>1.0793911082132235</v>
      </c>
    </row>
    <row r="46" spans="1:3" x14ac:dyDescent="0.3">
      <c r="A46" s="6" t="s">
        <v>34</v>
      </c>
      <c r="B46" s="8">
        <v>13.75</v>
      </c>
      <c r="C46" s="7">
        <f t="shared" si="0"/>
        <v>1.0793911082132235</v>
      </c>
    </row>
    <row r="47" spans="1:3" x14ac:dyDescent="0.3">
      <c r="A47" s="6" t="s">
        <v>35</v>
      </c>
      <c r="B47" s="8">
        <v>13.75</v>
      </c>
      <c r="C47" s="7">
        <f t="shared" si="0"/>
        <v>1.0793911082132235</v>
      </c>
    </row>
    <row r="48" spans="1:3" x14ac:dyDescent="0.3">
      <c r="A48" s="6" t="s">
        <v>36</v>
      </c>
      <c r="B48" s="8">
        <v>13.75</v>
      </c>
      <c r="C48" s="7">
        <f t="shared" si="0"/>
        <v>1.0793911082132235</v>
      </c>
    </row>
    <row r="49" spans="1:3" x14ac:dyDescent="0.3">
      <c r="A49" s="6" t="s">
        <v>942</v>
      </c>
      <c r="B49" s="8">
        <v>13.75</v>
      </c>
      <c r="C49" s="7">
        <f t="shared" si="0"/>
        <v>1.0793911082132235</v>
      </c>
    </row>
    <row r="50" spans="1:3" x14ac:dyDescent="0.3">
      <c r="A50" s="6" t="s">
        <v>943</v>
      </c>
      <c r="B50" s="8">
        <v>13.75</v>
      </c>
      <c r="C50" s="7">
        <f t="shared" si="0"/>
        <v>1.0793911082132235</v>
      </c>
    </row>
    <row r="51" spans="1:3" x14ac:dyDescent="0.3">
      <c r="A51" s="6" t="s">
        <v>37</v>
      </c>
      <c r="B51" s="8">
        <v>13.75</v>
      </c>
      <c r="C51" s="7">
        <f t="shared" si="0"/>
        <v>1.0793911082132235</v>
      </c>
    </row>
    <row r="52" spans="1:3" x14ac:dyDescent="0.3">
      <c r="A52" s="6" t="s">
        <v>38</v>
      </c>
      <c r="B52" s="8">
        <v>13.75</v>
      </c>
      <c r="C52" s="7">
        <f t="shared" si="0"/>
        <v>1.0793911082132235</v>
      </c>
    </row>
    <row r="53" spans="1:3" x14ac:dyDescent="0.3">
      <c r="A53" s="6" t="s">
        <v>39</v>
      </c>
      <c r="B53" s="8">
        <v>13.75</v>
      </c>
      <c r="C53" s="7">
        <f t="shared" si="0"/>
        <v>1.0793911082132235</v>
      </c>
    </row>
    <row r="54" spans="1:3" x14ac:dyDescent="0.3">
      <c r="A54" s="6" t="s">
        <v>40</v>
      </c>
      <c r="B54" s="8">
        <v>13.75</v>
      </c>
      <c r="C54" s="7">
        <f t="shared" si="0"/>
        <v>1.0793911082132235</v>
      </c>
    </row>
    <row r="55" spans="1:3" x14ac:dyDescent="0.3">
      <c r="A55" s="6" t="s">
        <v>41</v>
      </c>
      <c r="B55" s="8">
        <v>13.75</v>
      </c>
      <c r="C55" s="7">
        <f t="shared" si="0"/>
        <v>1.0793911082132235</v>
      </c>
    </row>
    <row r="56" spans="1:3" x14ac:dyDescent="0.3">
      <c r="A56" s="6" t="s">
        <v>944</v>
      </c>
      <c r="B56" s="8">
        <v>13.75</v>
      </c>
      <c r="C56" s="7">
        <f t="shared" si="0"/>
        <v>1.0793911082132235</v>
      </c>
    </row>
    <row r="57" spans="1:3" x14ac:dyDescent="0.3">
      <c r="A57" s="6" t="s">
        <v>945</v>
      </c>
      <c r="B57" s="8">
        <v>13.75</v>
      </c>
      <c r="C57" s="7">
        <f t="shared" si="0"/>
        <v>1.0793911082132235</v>
      </c>
    </row>
    <row r="58" spans="1:3" x14ac:dyDescent="0.3">
      <c r="A58" s="6" t="s">
        <v>946</v>
      </c>
      <c r="B58" s="8">
        <v>13.75</v>
      </c>
      <c r="C58" s="7">
        <f t="shared" si="0"/>
        <v>1.0793911082132235</v>
      </c>
    </row>
    <row r="59" spans="1:3" x14ac:dyDescent="0.3">
      <c r="A59" s="6" t="s">
        <v>947</v>
      </c>
      <c r="B59" s="8">
        <v>13.75</v>
      </c>
      <c r="C59" s="7">
        <f t="shared" si="0"/>
        <v>1.0793911082132235</v>
      </c>
    </row>
    <row r="60" spans="1:3" x14ac:dyDescent="0.3">
      <c r="A60" s="6" t="s">
        <v>42</v>
      </c>
      <c r="B60" s="8">
        <v>13.75</v>
      </c>
      <c r="C60" s="7">
        <f t="shared" si="0"/>
        <v>1.0793911082132235</v>
      </c>
    </row>
    <row r="61" spans="1:3" x14ac:dyDescent="0.3">
      <c r="A61" s="6" t="s">
        <v>43</v>
      </c>
      <c r="B61" s="8">
        <v>13.75</v>
      </c>
      <c r="C61" s="7">
        <f t="shared" si="0"/>
        <v>1.0793911082132235</v>
      </c>
    </row>
    <row r="62" spans="1:3" x14ac:dyDescent="0.3">
      <c r="A62" s="6" t="s">
        <v>44</v>
      </c>
      <c r="B62" s="8">
        <v>13.75</v>
      </c>
      <c r="C62" s="7">
        <f t="shared" si="0"/>
        <v>1.0793911082132235</v>
      </c>
    </row>
    <row r="63" spans="1:3" x14ac:dyDescent="0.3">
      <c r="A63" s="6" t="s">
        <v>948</v>
      </c>
      <c r="B63" s="8">
        <v>13.75</v>
      </c>
      <c r="C63" s="7">
        <f t="shared" si="0"/>
        <v>1.0793911082132235</v>
      </c>
    </row>
    <row r="64" spans="1:3" x14ac:dyDescent="0.3">
      <c r="A64" s="6" t="s">
        <v>949</v>
      </c>
      <c r="B64" s="8">
        <v>13.75</v>
      </c>
      <c r="C64" s="7">
        <f t="shared" si="0"/>
        <v>1.0793911082132235</v>
      </c>
    </row>
    <row r="65" spans="1:3" x14ac:dyDescent="0.3">
      <c r="A65" s="6" t="s">
        <v>45</v>
      </c>
      <c r="B65" s="8">
        <v>13.75</v>
      </c>
      <c r="C65" s="7">
        <f t="shared" si="0"/>
        <v>1.0793911082132235</v>
      </c>
    </row>
    <row r="66" spans="1:3" x14ac:dyDescent="0.3">
      <c r="A66" s="6" t="s">
        <v>46</v>
      </c>
      <c r="B66" s="8">
        <v>13.75</v>
      </c>
      <c r="C66" s="7">
        <f t="shared" si="0"/>
        <v>1.0793911082132235</v>
      </c>
    </row>
    <row r="67" spans="1:3" x14ac:dyDescent="0.3">
      <c r="A67" s="6" t="s">
        <v>47</v>
      </c>
      <c r="B67" s="8">
        <v>13.75</v>
      </c>
      <c r="C67" s="7">
        <f t="shared" si="0"/>
        <v>1.0793911082132235</v>
      </c>
    </row>
    <row r="68" spans="1:3" x14ac:dyDescent="0.3">
      <c r="A68" s="6" t="s">
        <v>48</v>
      </c>
      <c r="B68" s="8">
        <v>13.75</v>
      </c>
      <c r="C68" s="7">
        <f t="shared" si="0"/>
        <v>1.0793911082132235</v>
      </c>
    </row>
    <row r="69" spans="1:3" x14ac:dyDescent="0.3">
      <c r="A69" s="6" t="s">
        <v>49</v>
      </c>
      <c r="B69" s="8">
        <v>13.75</v>
      </c>
      <c r="C69" s="7">
        <f t="shared" si="0"/>
        <v>1.0793911082132235</v>
      </c>
    </row>
    <row r="70" spans="1:3" x14ac:dyDescent="0.3">
      <c r="A70" s="6" t="s">
        <v>950</v>
      </c>
      <c r="B70" s="8">
        <v>13.75</v>
      </c>
      <c r="C70" s="7">
        <f t="shared" si="0"/>
        <v>1.0793911082132235</v>
      </c>
    </row>
    <row r="71" spans="1:3" x14ac:dyDescent="0.3">
      <c r="A71" s="6" t="s">
        <v>951</v>
      </c>
      <c r="B71" s="8">
        <v>13.75</v>
      </c>
      <c r="C71" s="7">
        <f t="shared" si="0"/>
        <v>1.0793911082132235</v>
      </c>
    </row>
    <row r="72" spans="1:3" x14ac:dyDescent="0.3">
      <c r="A72" s="6" t="s">
        <v>50</v>
      </c>
      <c r="B72" s="8">
        <v>13.75</v>
      </c>
      <c r="C72" s="7">
        <f t="shared" ref="C72:C135" si="1">((1+B72/100)^(1/12)-1)*100</f>
        <v>1.0793911082132235</v>
      </c>
    </row>
    <row r="73" spans="1:3" x14ac:dyDescent="0.3">
      <c r="A73" s="6" t="s">
        <v>51</v>
      </c>
      <c r="B73" s="8">
        <v>13.75</v>
      </c>
      <c r="C73" s="7">
        <f t="shared" si="1"/>
        <v>1.0793911082132235</v>
      </c>
    </row>
    <row r="74" spans="1:3" x14ac:dyDescent="0.3">
      <c r="A74" s="6" t="s">
        <v>52</v>
      </c>
      <c r="B74" s="8">
        <v>13.75</v>
      </c>
      <c r="C74" s="7">
        <f t="shared" si="1"/>
        <v>1.0793911082132235</v>
      </c>
    </row>
    <row r="75" spans="1:3" x14ac:dyDescent="0.3">
      <c r="A75" s="6" t="s">
        <v>53</v>
      </c>
      <c r="B75" s="8">
        <v>13.75</v>
      </c>
      <c r="C75" s="7">
        <f t="shared" si="1"/>
        <v>1.0793911082132235</v>
      </c>
    </row>
    <row r="76" spans="1:3" x14ac:dyDescent="0.3">
      <c r="A76" s="6" t="s">
        <v>54</v>
      </c>
      <c r="B76" s="8">
        <v>13.75</v>
      </c>
      <c r="C76" s="7">
        <f t="shared" si="1"/>
        <v>1.0793911082132235</v>
      </c>
    </row>
    <row r="77" spans="1:3" x14ac:dyDescent="0.3">
      <c r="A77" s="6" t="s">
        <v>952</v>
      </c>
      <c r="B77" s="8">
        <v>13.75</v>
      </c>
      <c r="C77" s="7">
        <f t="shared" si="1"/>
        <v>1.0793911082132235</v>
      </c>
    </row>
    <row r="78" spans="1:3" x14ac:dyDescent="0.3">
      <c r="A78" s="6" t="s">
        <v>953</v>
      </c>
      <c r="B78" s="8">
        <v>13.75</v>
      </c>
      <c r="C78" s="7">
        <f t="shared" si="1"/>
        <v>1.0793911082132235</v>
      </c>
    </row>
    <row r="79" spans="1:3" x14ac:dyDescent="0.3">
      <c r="A79" s="6" t="s">
        <v>55</v>
      </c>
      <c r="B79" s="8">
        <v>13.75</v>
      </c>
      <c r="C79" s="7">
        <f t="shared" si="1"/>
        <v>1.0793911082132235</v>
      </c>
    </row>
    <row r="80" spans="1:3" x14ac:dyDescent="0.3">
      <c r="A80" s="6" t="s">
        <v>56</v>
      </c>
      <c r="B80" s="8">
        <v>13.75</v>
      </c>
      <c r="C80" s="7">
        <f t="shared" si="1"/>
        <v>1.0793911082132235</v>
      </c>
    </row>
    <row r="81" spans="1:3" x14ac:dyDescent="0.3">
      <c r="A81" s="6" t="s">
        <v>57</v>
      </c>
      <c r="B81" s="8">
        <v>13.75</v>
      </c>
      <c r="C81" s="7">
        <f t="shared" si="1"/>
        <v>1.0793911082132235</v>
      </c>
    </row>
    <row r="82" spans="1:3" x14ac:dyDescent="0.3">
      <c r="A82" s="6" t="s">
        <v>58</v>
      </c>
      <c r="B82" s="8">
        <v>13.75</v>
      </c>
      <c r="C82" s="7">
        <f t="shared" si="1"/>
        <v>1.0793911082132235</v>
      </c>
    </row>
    <row r="83" spans="1:3" x14ac:dyDescent="0.3">
      <c r="A83" s="6" t="s">
        <v>59</v>
      </c>
      <c r="B83" s="8">
        <v>13.75</v>
      </c>
      <c r="C83" s="7">
        <f t="shared" si="1"/>
        <v>1.0793911082132235</v>
      </c>
    </row>
    <row r="84" spans="1:3" x14ac:dyDescent="0.3">
      <c r="A84" s="6" t="s">
        <v>954</v>
      </c>
      <c r="B84" s="8">
        <v>13.75</v>
      </c>
      <c r="C84" s="7">
        <f t="shared" si="1"/>
        <v>1.0793911082132235</v>
      </c>
    </row>
    <row r="85" spans="1:3" x14ac:dyDescent="0.3">
      <c r="A85" s="6" t="s">
        <v>955</v>
      </c>
      <c r="B85" s="8">
        <v>13.75</v>
      </c>
      <c r="C85" s="7">
        <f t="shared" si="1"/>
        <v>1.0793911082132235</v>
      </c>
    </row>
    <row r="86" spans="1:3" x14ac:dyDescent="0.3">
      <c r="A86" s="6" t="s">
        <v>60</v>
      </c>
      <c r="B86" s="8">
        <v>13.75</v>
      </c>
      <c r="C86" s="7">
        <f t="shared" si="1"/>
        <v>1.0793911082132235</v>
      </c>
    </row>
    <row r="87" spans="1:3" x14ac:dyDescent="0.3">
      <c r="A87" s="6" t="s">
        <v>61</v>
      </c>
      <c r="B87" s="8">
        <v>13.75</v>
      </c>
      <c r="C87" s="7">
        <f t="shared" si="1"/>
        <v>1.0793911082132235</v>
      </c>
    </row>
    <row r="88" spans="1:3" x14ac:dyDescent="0.3">
      <c r="A88" s="6" t="s">
        <v>62</v>
      </c>
      <c r="B88" s="8">
        <v>13.75</v>
      </c>
      <c r="C88" s="7">
        <f t="shared" si="1"/>
        <v>1.0793911082132235</v>
      </c>
    </row>
    <row r="89" spans="1:3" x14ac:dyDescent="0.3">
      <c r="A89" s="6" t="s">
        <v>63</v>
      </c>
      <c r="B89" s="8">
        <v>13.75</v>
      </c>
      <c r="C89" s="7">
        <f t="shared" si="1"/>
        <v>1.0793911082132235</v>
      </c>
    </row>
    <row r="90" spans="1:3" x14ac:dyDescent="0.3">
      <c r="A90" s="6" t="s">
        <v>64</v>
      </c>
      <c r="B90" s="8">
        <v>13.75</v>
      </c>
      <c r="C90" s="7">
        <f t="shared" si="1"/>
        <v>1.0793911082132235</v>
      </c>
    </row>
    <row r="91" spans="1:3" x14ac:dyDescent="0.3">
      <c r="A91" s="6" t="s">
        <v>956</v>
      </c>
      <c r="B91" s="8">
        <v>13.75</v>
      </c>
      <c r="C91" s="7">
        <f t="shared" si="1"/>
        <v>1.0793911082132235</v>
      </c>
    </row>
    <row r="92" spans="1:3" x14ac:dyDescent="0.3">
      <c r="A92" s="6" t="s">
        <v>957</v>
      </c>
      <c r="B92" s="8">
        <v>13.75</v>
      </c>
      <c r="C92" s="7">
        <f t="shared" si="1"/>
        <v>1.0793911082132235</v>
      </c>
    </row>
    <row r="93" spans="1:3" x14ac:dyDescent="0.3">
      <c r="A93" s="6" t="s">
        <v>65</v>
      </c>
      <c r="B93" s="8">
        <v>13.75</v>
      </c>
      <c r="C93" s="7">
        <f t="shared" si="1"/>
        <v>1.0793911082132235</v>
      </c>
    </row>
    <row r="94" spans="1:3" x14ac:dyDescent="0.3">
      <c r="A94" s="6" t="s">
        <v>66</v>
      </c>
      <c r="B94" s="8">
        <v>13.75</v>
      </c>
      <c r="C94" s="7">
        <f t="shared" si="1"/>
        <v>1.0793911082132235</v>
      </c>
    </row>
    <row r="95" spans="1:3" x14ac:dyDescent="0.3">
      <c r="A95" s="6" t="s">
        <v>67</v>
      </c>
      <c r="B95" s="8">
        <v>13.75</v>
      </c>
      <c r="C95" s="7">
        <f t="shared" si="1"/>
        <v>1.0793911082132235</v>
      </c>
    </row>
    <row r="96" spans="1:3" x14ac:dyDescent="0.3">
      <c r="A96" s="6" t="s">
        <v>68</v>
      </c>
      <c r="B96" s="8">
        <v>13.75</v>
      </c>
      <c r="C96" s="7">
        <f t="shared" si="1"/>
        <v>1.0793911082132235</v>
      </c>
    </row>
    <row r="97" spans="1:3" x14ac:dyDescent="0.3">
      <c r="A97" s="6" t="s">
        <v>69</v>
      </c>
      <c r="B97" s="8">
        <v>13.75</v>
      </c>
      <c r="C97" s="7">
        <f t="shared" si="1"/>
        <v>1.0793911082132235</v>
      </c>
    </row>
    <row r="98" spans="1:3" x14ac:dyDescent="0.3">
      <c r="A98" s="6" t="s">
        <v>958</v>
      </c>
      <c r="B98" s="8">
        <v>13.75</v>
      </c>
      <c r="C98" s="7">
        <f t="shared" si="1"/>
        <v>1.0793911082132235</v>
      </c>
    </row>
    <row r="99" spans="1:3" x14ac:dyDescent="0.3">
      <c r="A99" s="6" t="s">
        <v>959</v>
      </c>
      <c r="B99" s="8">
        <v>13.75</v>
      </c>
      <c r="C99" s="7">
        <f t="shared" si="1"/>
        <v>1.0793911082132235</v>
      </c>
    </row>
    <row r="100" spans="1:3" x14ac:dyDescent="0.3">
      <c r="A100" s="6" t="s">
        <v>70</v>
      </c>
      <c r="B100" s="8">
        <v>13.75</v>
      </c>
      <c r="C100" s="7">
        <f t="shared" si="1"/>
        <v>1.0793911082132235</v>
      </c>
    </row>
    <row r="101" spans="1:3" x14ac:dyDescent="0.3">
      <c r="A101" s="6" t="s">
        <v>71</v>
      </c>
      <c r="B101" s="8">
        <v>13.75</v>
      </c>
      <c r="C101" s="7">
        <f t="shared" si="1"/>
        <v>1.0793911082132235</v>
      </c>
    </row>
    <row r="102" spans="1:3" x14ac:dyDescent="0.3">
      <c r="A102" s="6" t="s">
        <v>72</v>
      </c>
      <c r="B102" s="8">
        <v>13.75</v>
      </c>
      <c r="C102" s="7">
        <f t="shared" si="1"/>
        <v>1.0793911082132235</v>
      </c>
    </row>
    <row r="103" spans="1:3" x14ac:dyDescent="0.3">
      <c r="A103" s="6" t="s">
        <v>73</v>
      </c>
      <c r="B103" s="8">
        <v>13.75</v>
      </c>
      <c r="C103" s="7">
        <f t="shared" si="1"/>
        <v>1.0793911082132235</v>
      </c>
    </row>
    <row r="104" spans="1:3" x14ac:dyDescent="0.3">
      <c r="A104" s="6" t="s">
        <v>960</v>
      </c>
      <c r="B104" s="8">
        <v>13.75</v>
      </c>
      <c r="C104" s="7">
        <f t="shared" si="1"/>
        <v>1.0793911082132235</v>
      </c>
    </row>
    <row r="105" spans="1:3" x14ac:dyDescent="0.3">
      <c r="A105" s="6" t="s">
        <v>961</v>
      </c>
      <c r="B105" s="8">
        <v>13.75</v>
      </c>
      <c r="C105" s="7">
        <f t="shared" si="1"/>
        <v>1.0793911082132235</v>
      </c>
    </row>
    <row r="106" spans="1:3" x14ac:dyDescent="0.3">
      <c r="A106" s="6" t="s">
        <v>962</v>
      </c>
      <c r="B106" s="8">
        <v>13.75</v>
      </c>
      <c r="C106" s="7">
        <f t="shared" si="1"/>
        <v>1.0793911082132235</v>
      </c>
    </row>
    <row r="107" spans="1:3" x14ac:dyDescent="0.3">
      <c r="A107" s="6" t="s">
        <v>74</v>
      </c>
      <c r="B107" s="8">
        <v>13.75</v>
      </c>
      <c r="C107" s="7">
        <f t="shared" si="1"/>
        <v>1.0793911082132235</v>
      </c>
    </row>
    <row r="108" spans="1:3" x14ac:dyDescent="0.3">
      <c r="A108" s="6" t="s">
        <v>75</v>
      </c>
      <c r="B108" s="8">
        <v>13.75</v>
      </c>
      <c r="C108" s="7">
        <f t="shared" si="1"/>
        <v>1.0793911082132235</v>
      </c>
    </row>
    <row r="109" spans="1:3" x14ac:dyDescent="0.3">
      <c r="A109" s="6" t="s">
        <v>76</v>
      </c>
      <c r="B109" s="8">
        <v>13.75</v>
      </c>
      <c r="C109" s="7">
        <f t="shared" si="1"/>
        <v>1.0793911082132235</v>
      </c>
    </row>
    <row r="110" spans="1:3" x14ac:dyDescent="0.3">
      <c r="A110" s="6" t="s">
        <v>77</v>
      </c>
      <c r="B110" s="8">
        <v>13.75</v>
      </c>
      <c r="C110" s="7">
        <f t="shared" si="1"/>
        <v>1.0793911082132235</v>
      </c>
    </row>
    <row r="111" spans="1:3" x14ac:dyDescent="0.3">
      <c r="A111" s="6" t="s">
        <v>78</v>
      </c>
      <c r="B111" s="8">
        <v>13.75</v>
      </c>
      <c r="C111" s="7">
        <f t="shared" si="1"/>
        <v>1.0793911082132235</v>
      </c>
    </row>
    <row r="112" spans="1:3" x14ac:dyDescent="0.3">
      <c r="A112" s="6" t="s">
        <v>963</v>
      </c>
      <c r="B112" s="8">
        <v>13.75</v>
      </c>
      <c r="C112" s="7">
        <f t="shared" si="1"/>
        <v>1.0793911082132235</v>
      </c>
    </row>
    <row r="113" spans="1:3" x14ac:dyDescent="0.3">
      <c r="A113" s="6" t="s">
        <v>964</v>
      </c>
      <c r="B113" s="8">
        <v>13.75</v>
      </c>
      <c r="C113" s="7">
        <f t="shared" si="1"/>
        <v>1.0793911082132235</v>
      </c>
    </row>
    <row r="114" spans="1:3" x14ac:dyDescent="0.3">
      <c r="A114" s="6" t="s">
        <v>79</v>
      </c>
      <c r="B114" s="8">
        <v>13.75</v>
      </c>
      <c r="C114" s="7">
        <f t="shared" si="1"/>
        <v>1.0793911082132235</v>
      </c>
    </row>
    <row r="115" spans="1:3" x14ac:dyDescent="0.3">
      <c r="A115" s="6" t="s">
        <v>80</v>
      </c>
      <c r="B115" s="8">
        <v>13.75</v>
      </c>
      <c r="C115" s="7">
        <f t="shared" si="1"/>
        <v>1.0793911082132235</v>
      </c>
    </row>
    <row r="116" spans="1:3" x14ac:dyDescent="0.3">
      <c r="A116" s="6" t="s">
        <v>81</v>
      </c>
      <c r="B116" s="8">
        <v>13.75</v>
      </c>
      <c r="C116" s="7">
        <f t="shared" si="1"/>
        <v>1.0793911082132235</v>
      </c>
    </row>
    <row r="117" spans="1:3" x14ac:dyDescent="0.3">
      <c r="A117" s="6" t="s">
        <v>82</v>
      </c>
      <c r="B117" s="8">
        <v>13.75</v>
      </c>
      <c r="C117" s="7">
        <f t="shared" si="1"/>
        <v>1.0793911082132235</v>
      </c>
    </row>
    <row r="118" spans="1:3" x14ac:dyDescent="0.3">
      <c r="A118" s="6" t="s">
        <v>965</v>
      </c>
      <c r="B118" s="8">
        <v>13.75</v>
      </c>
      <c r="C118" s="7">
        <f t="shared" si="1"/>
        <v>1.0793911082132235</v>
      </c>
    </row>
    <row r="119" spans="1:3" x14ac:dyDescent="0.3">
      <c r="A119" s="6" t="s">
        <v>966</v>
      </c>
      <c r="B119" s="8">
        <v>13.75</v>
      </c>
      <c r="C119" s="7">
        <f t="shared" si="1"/>
        <v>1.0793911082132235</v>
      </c>
    </row>
    <row r="120" spans="1:3" x14ac:dyDescent="0.3">
      <c r="A120" s="6" t="s">
        <v>967</v>
      </c>
      <c r="B120" s="8">
        <v>13.75</v>
      </c>
      <c r="C120" s="7">
        <f t="shared" si="1"/>
        <v>1.0793911082132235</v>
      </c>
    </row>
    <row r="121" spans="1:3" x14ac:dyDescent="0.3">
      <c r="A121" s="6" t="s">
        <v>83</v>
      </c>
      <c r="B121" s="8">
        <v>13.75</v>
      </c>
      <c r="C121" s="7">
        <f t="shared" si="1"/>
        <v>1.0793911082132235</v>
      </c>
    </row>
    <row r="122" spans="1:3" x14ac:dyDescent="0.3">
      <c r="A122" s="6" t="s">
        <v>84</v>
      </c>
      <c r="B122" s="8">
        <v>13.75</v>
      </c>
      <c r="C122" s="7">
        <f t="shared" si="1"/>
        <v>1.0793911082132235</v>
      </c>
    </row>
    <row r="123" spans="1:3" x14ac:dyDescent="0.3">
      <c r="A123" s="6" t="s">
        <v>85</v>
      </c>
      <c r="B123" s="8">
        <v>13.75</v>
      </c>
      <c r="C123" s="7">
        <f t="shared" si="1"/>
        <v>1.0793911082132235</v>
      </c>
    </row>
    <row r="124" spans="1:3" x14ac:dyDescent="0.3">
      <c r="A124" s="6" t="s">
        <v>86</v>
      </c>
      <c r="B124" s="8">
        <v>13.75</v>
      </c>
      <c r="C124" s="7">
        <f t="shared" si="1"/>
        <v>1.0793911082132235</v>
      </c>
    </row>
    <row r="125" spans="1:3" x14ac:dyDescent="0.3">
      <c r="A125" s="6" t="s">
        <v>87</v>
      </c>
      <c r="B125" s="8">
        <v>13.75</v>
      </c>
      <c r="C125" s="7">
        <f t="shared" si="1"/>
        <v>1.0793911082132235</v>
      </c>
    </row>
    <row r="126" spans="1:3" x14ac:dyDescent="0.3">
      <c r="A126" s="6" t="s">
        <v>968</v>
      </c>
      <c r="B126" s="8">
        <v>13.75</v>
      </c>
      <c r="C126" s="7">
        <f t="shared" si="1"/>
        <v>1.0793911082132235</v>
      </c>
    </row>
    <row r="127" spans="1:3" x14ac:dyDescent="0.3">
      <c r="A127" s="6" t="s">
        <v>969</v>
      </c>
      <c r="B127" s="8">
        <v>13.75</v>
      </c>
      <c r="C127" s="7">
        <f t="shared" si="1"/>
        <v>1.0793911082132235</v>
      </c>
    </row>
    <row r="128" spans="1:3" x14ac:dyDescent="0.3">
      <c r="A128" s="6" t="s">
        <v>970</v>
      </c>
      <c r="B128" s="8">
        <v>13.75</v>
      </c>
      <c r="C128" s="7">
        <f t="shared" si="1"/>
        <v>1.0793911082132235</v>
      </c>
    </row>
    <row r="129" spans="1:3" x14ac:dyDescent="0.3">
      <c r="A129" s="6" t="s">
        <v>88</v>
      </c>
      <c r="B129" s="8">
        <v>13.75</v>
      </c>
      <c r="C129" s="7">
        <f t="shared" si="1"/>
        <v>1.0793911082132235</v>
      </c>
    </row>
    <row r="130" spans="1:3" x14ac:dyDescent="0.3">
      <c r="A130" s="6" t="s">
        <v>89</v>
      </c>
      <c r="B130" s="8">
        <v>13.75</v>
      </c>
      <c r="C130" s="7">
        <f t="shared" si="1"/>
        <v>1.0793911082132235</v>
      </c>
    </row>
    <row r="131" spans="1:3" x14ac:dyDescent="0.3">
      <c r="A131" s="6" t="s">
        <v>90</v>
      </c>
      <c r="B131" s="8">
        <v>13.75</v>
      </c>
      <c r="C131" s="7">
        <f t="shared" si="1"/>
        <v>1.0793911082132235</v>
      </c>
    </row>
    <row r="132" spans="1:3" x14ac:dyDescent="0.3">
      <c r="A132" s="6" t="s">
        <v>91</v>
      </c>
      <c r="B132" s="8">
        <v>13.75</v>
      </c>
      <c r="C132" s="7">
        <f t="shared" si="1"/>
        <v>1.0793911082132235</v>
      </c>
    </row>
    <row r="133" spans="1:3" x14ac:dyDescent="0.3">
      <c r="A133" s="6" t="s">
        <v>971</v>
      </c>
      <c r="B133" s="8">
        <v>13.75</v>
      </c>
      <c r="C133" s="7">
        <f t="shared" si="1"/>
        <v>1.0793911082132235</v>
      </c>
    </row>
    <row r="134" spans="1:3" x14ac:dyDescent="0.3">
      <c r="A134" s="6" t="s">
        <v>972</v>
      </c>
      <c r="B134" s="8">
        <v>13.75</v>
      </c>
      <c r="C134" s="7">
        <f t="shared" si="1"/>
        <v>1.0793911082132235</v>
      </c>
    </row>
    <row r="135" spans="1:3" x14ac:dyDescent="0.3">
      <c r="A135" s="6" t="s">
        <v>92</v>
      </c>
      <c r="B135" s="8">
        <v>13.75</v>
      </c>
      <c r="C135" s="7">
        <f t="shared" si="1"/>
        <v>1.0793911082132235</v>
      </c>
    </row>
    <row r="136" spans="1:3" x14ac:dyDescent="0.3">
      <c r="A136" s="6" t="s">
        <v>93</v>
      </c>
      <c r="B136" s="8">
        <v>13.75</v>
      </c>
      <c r="C136" s="7">
        <f t="shared" ref="C136:C199" si="2">((1+B136/100)^(1/12)-1)*100</f>
        <v>1.0793911082132235</v>
      </c>
    </row>
    <row r="137" spans="1:3" x14ac:dyDescent="0.3">
      <c r="A137" s="6" t="s">
        <v>94</v>
      </c>
      <c r="B137" s="8">
        <v>13.75</v>
      </c>
      <c r="C137" s="7">
        <f t="shared" si="2"/>
        <v>1.0793911082132235</v>
      </c>
    </row>
    <row r="138" spans="1:3" x14ac:dyDescent="0.3">
      <c r="A138" s="6" t="s">
        <v>95</v>
      </c>
      <c r="B138" s="8">
        <v>13.75</v>
      </c>
      <c r="C138" s="7">
        <f t="shared" si="2"/>
        <v>1.0793911082132235</v>
      </c>
    </row>
    <row r="139" spans="1:3" x14ac:dyDescent="0.3">
      <c r="A139" s="6" t="s">
        <v>96</v>
      </c>
      <c r="B139" s="8">
        <v>13.75</v>
      </c>
      <c r="C139" s="7">
        <f t="shared" si="2"/>
        <v>1.0793911082132235</v>
      </c>
    </row>
    <row r="140" spans="1:3" x14ac:dyDescent="0.3">
      <c r="A140" s="6" t="s">
        <v>973</v>
      </c>
      <c r="B140" s="8">
        <v>13.75</v>
      </c>
      <c r="C140" s="7">
        <f t="shared" si="2"/>
        <v>1.0793911082132235</v>
      </c>
    </row>
    <row r="141" spans="1:3" x14ac:dyDescent="0.3">
      <c r="A141" s="6" t="s">
        <v>974</v>
      </c>
      <c r="B141" s="8">
        <v>13.75</v>
      </c>
      <c r="C141" s="7">
        <f t="shared" si="2"/>
        <v>1.0793911082132235</v>
      </c>
    </row>
    <row r="142" spans="1:3" x14ac:dyDescent="0.3">
      <c r="A142" s="6" t="s">
        <v>97</v>
      </c>
      <c r="B142" s="8">
        <v>13.75</v>
      </c>
      <c r="C142" s="7">
        <f t="shared" si="2"/>
        <v>1.0793911082132235</v>
      </c>
    </row>
    <row r="143" spans="1:3" x14ac:dyDescent="0.3">
      <c r="A143" s="6" t="s">
        <v>98</v>
      </c>
      <c r="B143" s="8">
        <v>13.75</v>
      </c>
      <c r="C143" s="7">
        <f t="shared" si="2"/>
        <v>1.0793911082132235</v>
      </c>
    </row>
    <row r="144" spans="1:3" x14ac:dyDescent="0.3">
      <c r="A144" s="6" t="s">
        <v>99</v>
      </c>
      <c r="B144" s="8">
        <v>13.75</v>
      </c>
      <c r="C144" s="7">
        <f t="shared" si="2"/>
        <v>1.0793911082132235</v>
      </c>
    </row>
    <row r="145" spans="1:3" x14ac:dyDescent="0.3">
      <c r="A145" s="6" t="s">
        <v>100</v>
      </c>
      <c r="B145" s="8">
        <v>13.75</v>
      </c>
      <c r="C145" s="7">
        <f t="shared" si="2"/>
        <v>1.0793911082132235</v>
      </c>
    </row>
    <row r="146" spans="1:3" x14ac:dyDescent="0.3">
      <c r="A146" s="6" t="s">
        <v>101</v>
      </c>
      <c r="B146" s="8">
        <v>13.75</v>
      </c>
      <c r="C146" s="7">
        <f t="shared" si="2"/>
        <v>1.0793911082132235</v>
      </c>
    </row>
    <row r="147" spans="1:3" x14ac:dyDescent="0.3">
      <c r="A147" s="6" t="s">
        <v>975</v>
      </c>
      <c r="B147" s="8">
        <v>13.75</v>
      </c>
      <c r="C147" s="7">
        <f t="shared" si="2"/>
        <v>1.0793911082132235</v>
      </c>
    </row>
    <row r="148" spans="1:3" x14ac:dyDescent="0.3">
      <c r="A148" s="6" t="s">
        <v>976</v>
      </c>
      <c r="B148" s="8">
        <v>13.75</v>
      </c>
      <c r="C148" s="7">
        <f t="shared" si="2"/>
        <v>1.0793911082132235</v>
      </c>
    </row>
    <row r="149" spans="1:3" x14ac:dyDescent="0.3">
      <c r="A149" s="6" t="s">
        <v>102</v>
      </c>
      <c r="B149" s="8">
        <v>13.75</v>
      </c>
      <c r="C149" s="7">
        <f t="shared" si="2"/>
        <v>1.0793911082132235</v>
      </c>
    </row>
    <row r="150" spans="1:3" x14ac:dyDescent="0.3">
      <c r="A150" s="6" t="s">
        <v>103</v>
      </c>
      <c r="B150" s="8">
        <v>13.75</v>
      </c>
      <c r="C150" s="7">
        <f t="shared" si="2"/>
        <v>1.0793911082132235</v>
      </c>
    </row>
    <row r="151" spans="1:3" x14ac:dyDescent="0.3">
      <c r="A151" s="6" t="s">
        <v>104</v>
      </c>
      <c r="B151" s="8">
        <v>13.75</v>
      </c>
      <c r="C151" s="7">
        <f t="shared" si="2"/>
        <v>1.0793911082132235</v>
      </c>
    </row>
    <row r="152" spans="1:3" x14ac:dyDescent="0.3">
      <c r="A152" s="6" t="s">
        <v>105</v>
      </c>
      <c r="B152" s="8">
        <v>13.75</v>
      </c>
      <c r="C152" s="7">
        <f t="shared" si="2"/>
        <v>1.0793911082132235</v>
      </c>
    </row>
    <row r="153" spans="1:3" x14ac:dyDescent="0.3">
      <c r="A153" s="6" t="s">
        <v>106</v>
      </c>
      <c r="B153" s="8">
        <v>13.75</v>
      </c>
      <c r="C153" s="7">
        <f t="shared" si="2"/>
        <v>1.0793911082132235</v>
      </c>
    </row>
    <row r="154" spans="1:3" x14ac:dyDescent="0.3">
      <c r="A154" s="6" t="s">
        <v>977</v>
      </c>
      <c r="B154" s="8">
        <v>13.75</v>
      </c>
      <c r="C154" s="7">
        <f t="shared" si="2"/>
        <v>1.0793911082132235</v>
      </c>
    </row>
    <row r="155" spans="1:3" x14ac:dyDescent="0.3">
      <c r="A155" s="6" t="s">
        <v>978</v>
      </c>
      <c r="B155" s="8">
        <v>13.75</v>
      </c>
      <c r="C155" s="7">
        <f t="shared" si="2"/>
        <v>1.0793911082132235</v>
      </c>
    </row>
    <row r="156" spans="1:3" x14ac:dyDescent="0.3">
      <c r="A156" s="6" t="s">
        <v>107</v>
      </c>
      <c r="B156" s="8">
        <v>13.75</v>
      </c>
      <c r="C156" s="7">
        <f t="shared" si="2"/>
        <v>1.0793911082132235</v>
      </c>
    </row>
    <row r="157" spans="1:3" x14ac:dyDescent="0.3">
      <c r="A157" s="6" t="s">
        <v>108</v>
      </c>
      <c r="B157" s="8">
        <v>13.75</v>
      </c>
      <c r="C157" s="7">
        <f t="shared" si="2"/>
        <v>1.0793911082132235</v>
      </c>
    </row>
    <row r="158" spans="1:3" x14ac:dyDescent="0.3">
      <c r="A158" s="6" t="s">
        <v>109</v>
      </c>
      <c r="B158" s="8">
        <v>13.75</v>
      </c>
      <c r="C158" s="7">
        <f t="shared" si="2"/>
        <v>1.0793911082132235</v>
      </c>
    </row>
    <row r="159" spans="1:3" x14ac:dyDescent="0.3">
      <c r="A159" s="6" t="s">
        <v>110</v>
      </c>
      <c r="B159" s="8">
        <v>13.75</v>
      </c>
      <c r="C159" s="7">
        <f t="shared" si="2"/>
        <v>1.0793911082132235</v>
      </c>
    </row>
    <row r="160" spans="1:3" x14ac:dyDescent="0.3">
      <c r="A160" s="6" t="s">
        <v>111</v>
      </c>
      <c r="B160" s="8">
        <v>13.75</v>
      </c>
      <c r="C160" s="7">
        <f t="shared" si="2"/>
        <v>1.0793911082132235</v>
      </c>
    </row>
    <row r="161" spans="1:3" x14ac:dyDescent="0.3">
      <c r="A161" s="6" t="s">
        <v>979</v>
      </c>
      <c r="B161" s="8">
        <v>13.75</v>
      </c>
      <c r="C161" s="7">
        <f t="shared" si="2"/>
        <v>1.0793911082132235</v>
      </c>
    </row>
    <row r="162" spans="1:3" x14ac:dyDescent="0.3">
      <c r="A162" s="6" t="s">
        <v>980</v>
      </c>
      <c r="B162" s="8">
        <v>13.75</v>
      </c>
      <c r="C162" s="7">
        <f t="shared" si="2"/>
        <v>1.0793911082132235</v>
      </c>
    </row>
    <row r="163" spans="1:3" x14ac:dyDescent="0.3">
      <c r="A163" s="6" t="s">
        <v>112</v>
      </c>
      <c r="B163" s="8">
        <v>13.75</v>
      </c>
      <c r="C163" s="7">
        <f t="shared" si="2"/>
        <v>1.0793911082132235</v>
      </c>
    </row>
    <row r="164" spans="1:3" x14ac:dyDescent="0.3">
      <c r="A164" s="6" t="s">
        <v>113</v>
      </c>
      <c r="B164" s="8">
        <v>13.75</v>
      </c>
      <c r="C164" s="7">
        <f t="shared" si="2"/>
        <v>1.0793911082132235</v>
      </c>
    </row>
    <row r="165" spans="1:3" x14ac:dyDescent="0.3">
      <c r="A165" s="6" t="s">
        <v>114</v>
      </c>
      <c r="B165" s="8">
        <v>13.75</v>
      </c>
      <c r="C165" s="7">
        <f t="shared" si="2"/>
        <v>1.0793911082132235</v>
      </c>
    </row>
    <row r="166" spans="1:3" x14ac:dyDescent="0.3">
      <c r="A166" s="6" t="s">
        <v>981</v>
      </c>
      <c r="B166" s="8">
        <v>13.75</v>
      </c>
      <c r="C166" s="7">
        <f t="shared" si="2"/>
        <v>1.0793911082132235</v>
      </c>
    </row>
    <row r="167" spans="1:3" x14ac:dyDescent="0.3">
      <c r="A167" s="6" t="s">
        <v>115</v>
      </c>
      <c r="B167" s="8">
        <v>13.75</v>
      </c>
      <c r="C167" s="7">
        <f t="shared" si="2"/>
        <v>1.0793911082132235</v>
      </c>
    </row>
    <row r="168" spans="1:3" x14ac:dyDescent="0.3">
      <c r="A168" s="6" t="s">
        <v>982</v>
      </c>
      <c r="B168" s="8">
        <v>13.75</v>
      </c>
      <c r="C168" s="7">
        <f t="shared" si="2"/>
        <v>1.0793911082132235</v>
      </c>
    </row>
    <row r="169" spans="1:3" x14ac:dyDescent="0.3">
      <c r="A169" s="6" t="s">
        <v>983</v>
      </c>
      <c r="B169" s="8">
        <v>13.75</v>
      </c>
      <c r="C169" s="7">
        <f t="shared" si="2"/>
        <v>1.0793911082132235</v>
      </c>
    </row>
    <row r="170" spans="1:3" x14ac:dyDescent="0.3">
      <c r="A170" s="6" t="s">
        <v>116</v>
      </c>
      <c r="B170" s="8">
        <v>13.75</v>
      </c>
      <c r="C170" s="7">
        <f t="shared" si="2"/>
        <v>1.0793911082132235</v>
      </c>
    </row>
    <row r="171" spans="1:3" x14ac:dyDescent="0.3">
      <c r="A171" s="6" t="s">
        <v>117</v>
      </c>
      <c r="B171" s="8">
        <v>13.75</v>
      </c>
      <c r="C171" s="7">
        <f t="shared" si="2"/>
        <v>1.0793911082132235</v>
      </c>
    </row>
    <row r="172" spans="1:3" x14ac:dyDescent="0.3">
      <c r="A172" s="6" t="s">
        <v>118</v>
      </c>
      <c r="B172" s="8">
        <v>13.75</v>
      </c>
      <c r="C172" s="7">
        <f t="shared" si="2"/>
        <v>1.0793911082132235</v>
      </c>
    </row>
    <row r="173" spans="1:3" x14ac:dyDescent="0.3">
      <c r="A173" s="6" t="s">
        <v>119</v>
      </c>
      <c r="B173" s="8">
        <v>13.75</v>
      </c>
      <c r="C173" s="7">
        <f t="shared" si="2"/>
        <v>1.0793911082132235</v>
      </c>
    </row>
    <row r="174" spans="1:3" x14ac:dyDescent="0.3">
      <c r="A174" s="6" t="s">
        <v>120</v>
      </c>
      <c r="B174" s="8">
        <v>13.75</v>
      </c>
      <c r="C174" s="7">
        <f t="shared" si="2"/>
        <v>1.0793911082132235</v>
      </c>
    </row>
    <row r="175" spans="1:3" x14ac:dyDescent="0.3">
      <c r="A175" s="6" t="s">
        <v>984</v>
      </c>
      <c r="B175" s="8">
        <v>13.75</v>
      </c>
      <c r="C175" s="7">
        <f t="shared" si="2"/>
        <v>1.0793911082132235</v>
      </c>
    </row>
    <row r="176" spans="1:3" x14ac:dyDescent="0.3">
      <c r="A176" s="6" t="s">
        <v>985</v>
      </c>
      <c r="B176" s="8">
        <v>13.75</v>
      </c>
      <c r="C176" s="7">
        <f t="shared" si="2"/>
        <v>1.0793911082132235</v>
      </c>
    </row>
    <row r="177" spans="1:3" x14ac:dyDescent="0.3">
      <c r="A177" s="6" t="s">
        <v>121</v>
      </c>
      <c r="B177" s="8">
        <v>13.75</v>
      </c>
      <c r="C177" s="7">
        <f t="shared" si="2"/>
        <v>1.0793911082132235</v>
      </c>
    </row>
    <row r="178" spans="1:3" x14ac:dyDescent="0.3">
      <c r="A178" s="6" t="s">
        <v>122</v>
      </c>
      <c r="B178" s="8">
        <v>13.75</v>
      </c>
      <c r="C178" s="7">
        <f t="shared" si="2"/>
        <v>1.0793911082132235</v>
      </c>
    </row>
    <row r="179" spans="1:3" x14ac:dyDescent="0.3">
      <c r="A179" s="6" t="s">
        <v>123</v>
      </c>
      <c r="B179" s="8">
        <v>13.75</v>
      </c>
      <c r="C179" s="7">
        <f t="shared" si="2"/>
        <v>1.0793911082132235</v>
      </c>
    </row>
    <row r="180" spans="1:3" x14ac:dyDescent="0.3">
      <c r="A180" s="6" t="s">
        <v>124</v>
      </c>
      <c r="B180" s="8">
        <v>13.75</v>
      </c>
      <c r="C180" s="7">
        <f t="shared" si="2"/>
        <v>1.0793911082132235</v>
      </c>
    </row>
    <row r="181" spans="1:3" x14ac:dyDescent="0.3">
      <c r="A181" s="6" t="s">
        <v>125</v>
      </c>
      <c r="B181" s="8">
        <v>13.75</v>
      </c>
      <c r="C181" s="7">
        <f t="shared" si="2"/>
        <v>1.0793911082132235</v>
      </c>
    </row>
    <row r="182" spans="1:3" x14ac:dyDescent="0.3">
      <c r="A182" s="6" t="s">
        <v>986</v>
      </c>
      <c r="B182" s="8">
        <v>13.75</v>
      </c>
      <c r="C182" s="7">
        <f t="shared" si="2"/>
        <v>1.0793911082132235</v>
      </c>
    </row>
    <row r="183" spans="1:3" x14ac:dyDescent="0.3">
      <c r="A183" s="6" t="s">
        <v>987</v>
      </c>
      <c r="B183" s="8">
        <v>13.75</v>
      </c>
      <c r="C183" s="7">
        <f t="shared" si="2"/>
        <v>1.0793911082132235</v>
      </c>
    </row>
    <row r="184" spans="1:3" x14ac:dyDescent="0.3">
      <c r="A184" s="6" t="s">
        <v>126</v>
      </c>
      <c r="B184" s="8">
        <v>13.75</v>
      </c>
      <c r="C184" s="7">
        <f t="shared" si="2"/>
        <v>1.0793911082132235</v>
      </c>
    </row>
    <row r="185" spans="1:3" x14ac:dyDescent="0.3">
      <c r="A185" s="6" t="s">
        <v>127</v>
      </c>
      <c r="B185" s="8">
        <v>13.75</v>
      </c>
      <c r="C185" s="7">
        <f t="shared" si="2"/>
        <v>1.0793911082132235</v>
      </c>
    </row>
    <row r="186" spans="1:3" x14ac:dyDescent="0.3">
      <c r="A186" s="6" t="s">
        <v>128</v>
      </c>
      <c r="B186" s="8">
        <v>13.75</v>
      </c>
      <c r="C186" s="7">
        <f t="shared" si="2"/>
        <v>1.0793911082132235</v>
      </c>
    </row>
    <row r="187" spans="1:3" x14ac:dyDescent="0.3">
      <c r="A187" s="6" t="s">
        <v>129</v>
      </c>
      <c r="B187" s="8">
        <v>13.75</v>
      </c>
      <c r="C187" s="7">
        <f t="shared" si="2"/>
        <v>1.0793911082132235</v>
      </c>
    </row>
    <row r="188" spans="1:3" x14ac:dyDescent="0.3">
      <c r="A188" s="6" t="s">
        <v>130</v>
      </c>
      <c r="B188" s="8">
        <v>13.75</v>
      </c>
      <c r="C188" s="7">
        <f t="shared" si="2"/>
        <v>1.0793911082132235</v>
      </c>
    </row>
    <row r="189" spans="1:3" x14ac:dyDescent="0.3">
      <c r="A189" s="6" t="s">
        <v>988</v>
      </c>
      <c r="B189" s="8">
        <v>13.75</v>
      </c>
      <c r="C189" s="7">
        <f t="shared" si="2"/>
        <v>1.0793911082132235</v>
      </c>
    </row>
    <row r="190" spans="1:3" x14ac:dyDescent="0.3">
      <c r="A190" s="6" t="s">
        <v>989</v>
      </c>
      <c r="B190" s="8">
        <v>13.75</v>
      </c>
      <c r="C190" s="7">
        <f t="shared" si="2"/>
        <v>1.0793911082132235</v>
      </c>
    </row>
    <row r="191" spans="1:3" x14ac:dyDescent="0.3">
      <c r="A191" s="6" t="s">
        <v>131</v>
      </c>
      <c r="B191" s="8">
        <v>13.75</v>
      </c>
      <c r="C191" s="7">
        <f t="shared" si="2"/>
        <v>1.0793911082132235</v>
      </c>
    </row>
    <row r="192" spans="1:3" x14ac:dyDescent="0.3">
      <c r="A192" s="6" t="s">
        <v>132</v>
      </c>
      <c r="B192" s="8">
        <v>13.75</v>
      </c>
      <c r="C192" s="7">
        <f t="shared" si="2"/>
        <v>1.0793911082132235</v>
      </c>
    </row>
    <row r="193" spans="1:3" x14ac:dyDescent="0.3">
      <c r="A193" s="6" t="s">
        <v>133</v>
      </c>
      <c r="B193" s="8">
        <v>13.75</v>
      </c>
      <c r="C193" s="7">
        <f t="shared" si="2"/>
        <v>1.0793911082132235</v>
      </c>
    </row>
    <row r="194" spans="1:3" x14ac:dyDescent="0.3">
      <c r="A194" s="6" t="s">
        <v>134</v>
      </c>
      <c r="B194" s="8">
        <v>13.75</v>
      </c>
      <c r="C194" s="7">
        <f t="shared" si="2"/>
        <v>1.0793911082132235</v>
      </c>
    </row>
    <row r="195" spans="1:3" x14ac:dyDescent="0.3">
      <c r="A195" s="6" t="s">
        <v>135</v>
      </c>
      <c r="B195" s="8">
        <v>13.75</v>
      </c>
      <c r="C195" s="7">
        <f t="shared" si="2"/>
        <v>1.0793911082132235</v>
      </c>
    </row>
    <row r="196" spans="1:3" x14ac:dyDescent="0.3">
      <c r="A196" s="6" t="s">
        <v>990</v>
      </c>
      <c r="B196" s="8">
        <v>13.75</v>
      </c>
      <c r="C196" s="7">
        <f t="shared" si="2"/>
        <v>1.0793911082132235</v>
      </c>
    </row>
    <row r="197" spans="1:3" x14ac:dyDescent="0.3">
      <c r="A197" s="6" t="s">
        <v>991</v>
      </c>
      <c r="B197" s="8">
        <v>13.75</v>
      </c>
      <c r="C197" s="7">
        <f t="shared" si="2"/>
        <v>1.0793911082132235</v>
      </c>
    </row>
    <row r="198" spans="1:3" x14ac:dyDescent="0.3">
      <c r="A198" s="6" t="s">
        <v>136</v>
      </c>
      <c r="B198" s="8">
        <v>13.75</v>
      </c>
      <c r="C198" s="7">
        <f t="shared" si="2"/>
        <v>1.0793911082132235</v>
      </c>
    </row>
    <row r="199" spans="1:3" x14ac:dyDescent="0.3">
      <c r="A199" s="6" t="s">
        <v>137</v>
      </c>
      <c r="B199" s="8">
        <v>13.75</v>
      </c>
      <c r="C199" s="7">
        <f t="shared" si="2"/>
        <v>1.0793911082132235</v>
      </c>
    </row>
    <row r="200" spans="1:3" x14ac:dyDescent="0.3">
      <c r="A200" s="6" t="s">
        <v>138</v>
      </c>
      <c r="B200" s="8">
        <v>13.75</v>
      </c>
      <c r="C200" s="7">
        <f t="shared" ref="C200:C263" si="3">((1+B200/100)^(1/12)-1)*100</f>
        <v>1.0793911082132235</v>
      </c>
    </row>
    <row r="201" spans="1:3" x14ac:dyDescent="0.3">
      <c r="A201" s="6" t="s">
        <v>139</v>
      </c>
      <c r="B201" s="8">
        <v>13.75</v>
      </c>
      <c r="C201" s="7">
        <f t="shared" si="3"/>
        <v>1.0793911082132235</v>
      </c>
    </row>
    <row r="202" spans="1:3" x14ac:dyDescent="0.3">
      <c r="A202" s="6" t="s">
        <v>140</v>
      </c>
      <c r="B202" s="8">
        <v>13.75</v>
      </c>
      <c r="C202" s="7">
        <f t="shared" si="3"/>
        <v>1.0793911082132235</v>
      </c>
    </row>
    <row r="203" spans="1:3" x14ac:dyDescent="0.3">
      <c r="A203" s="6" t="s">
        <v>992</v>
      </c>
      <c r="B203" s="8">
        <v>13.75</v>
      </c>
      <c r="C203" s="7">
        <f t="shared" si="3"/>
        <v>1.0793911082132235</v>
      </c>
    </row>
    <row r="204" spans="1:3" x14ac:dyDescent="0.3">
      <c r="A204" s="6" t="s">
        <v>993</v>
      </c>
      <c r="B204" s="8">
        <v>13.75</v>
      </c>
      <c r="C204" s="7">
        <f t="shared" si="3"/>
        <v>1.0793911082132235</v>
      </c>
    </row>
    <row r="205" spans="1:3" x14ac:dyDescent="0.3">
      <c r="A205" s="6" t="s">
        <v>141</v>
      </c>
      <c r="B205" s="8">
        <v>13.75</v>
      </c>
      <c r="C205" s="7">
        <f t="shared" si="3"/>
        <v>1.0793911082132235</v>
      </c>
    </row>
    <row r="206" spans="1:3" x14ac:dyDescent="0.3">
      <c r="A206" s="6" t="s">
        <v>142</v>
      </c>
      <c r="B206" s="8">
        <v>13.75</v>
      </c>
      <c r="C206" s="7">
        <f t="shared" si="3"/>
        <v>1.0793911082132235</v>
      </c>
    </row>
    <row r="207" spans="1:3" x14ac:dyDescent="0.3">
      <c r="A207" s="6" t="s">
        <v>143</v>
      </c>
      <c r="B207" s="8">
        <v>13.75</v>
      </c>
      <c r="C207" s="7">
        <f t="shared" si="3"/>
        <v>1.0793911082132235</v>
      </c>
    </row>
    <row r="208" spans="1:3" x14ac:dyDescent="0.3">
      <c r="A208" s="6" t="s">
        <v>144</v>
      </c>
      <c r="B208" s="8">
        <v>13.75</v>
      </c>
      <c r="C208" s="7">
        <f t="shared" si="3"/>
        <v>1.0793911082132235</v>
      </c>
    </row>
    <row r="209" spans="1:3" x14ac:dyDescent="0.3">
      <c r="A209" s="6" t="s">
        <v>145</v>
      </c>
      <c r="B209" s="8">
        <v>13.75</v>
      </c>
      <c r="C209" s="7">
        <f t="shared" si="3"/>
        <v>1.0793911082132235</v>
      </c>
    </row>
    <row r="210" spans="1:3" x14ac:dyDescent="0.3">
      <c r="A210" s="6" t="s">
        <v>994</v>
      </c>
      <c r="B210" s="8">
        <v>13.75</v>
      </c>
      <c r="C210" s="7">
        <f t="shared" si="3"/>
        <v>1.0793911082132235</v>
      </c>
    </row>
    <row r="211" spans="1:3" x14ac:dyDescent="0.3">
      <c r="A211" s="6" t="s">
        <v>995</v>
      </c>
      <c r="B211" s="8">
        <v>13.75</v>
      </c>
      <c r="C211" s="7">
        <f t="shared" si="3"/>
        <v>1.0793911082132235</v>
      </c>
    </row>
    <row r="212" spans="1:3" x14ac:dyDescent="0.3">
      <c r="A212" s="6" t="s">
        <v>146</v>
      </c>
      <c r="B212" s="8">
        <v>13.75</v>
      </c>
      <c r="C212" s="7">
        <f t="shared" si="3"/>
        <v>1.0793911082132235</v>
      </c>
    </row>
    <row r="213" spans="1:3" x14ac:dyDescent="0.3">
      <c r="A213" s="6" t="s">
        <v>147</v>
      </c>
      <c r="B213" s="8">
        <v>13.75</v>
      </c>
      <c r="C213" s="7">
        <f t="shared" si="3"/>
        <v>1.0793911082132235</v>
      </c>
    </row>
    <row r="214" spans="1:3" x14ac:dyDescent="0.3">
      <c r="A214" s="6" t="s">
        <v>148</v>
      </c>
      <c r="B214" s="8">
        <v>13.75</v>
      </c>
      <c r="C214" s="7">
        <f t="shared" si="3"/>
        <v>1.0793911082132235</v>
      </c>
    </row>
    <row r="215" spans="1:3" x14ac:dyDescent="0.3">
      <c r="A215" s="6" t="s">
        <v>149</v>
      </c>
      <c r="B215" s="8">
        <v>13.75</v>
      </c>
      <c r="C215" s="7">
        <f t="shared" si="3"/>
        <v>1.0793911082132235</v>
      </c>
    </row>
    <row r="216" spans="1:3" x14ac:dyDescent="0.3">
      <c r="A216" s="6" t="s">
        <v>150</v>
      </c>
      <c r="B216" s="8">
        <v>13.75</v>
      </c>
      <c r="C216" s="7">
        <f t="shared" si="3"/>
        <v>1.0793911082132235</v>
      </c>
    </row>
    <row r="217" spans="1:3" x14ac:dyDescent="0.3">
      <c r="A217" s="6" t="s">
        <v>996</v>
      </c>
      <c r="B217" s="8">
        <v>13.75</v>
      </c>
      <c r="C217" s="7">
        <f t="shared" si="3"/>
        <v>1.0793911082132235</v>
      </c>
    </row>
    <row r="218" spans="1:3" x14ac:dyDescent="0.3">
      <c r="A218" s="6" t="s">
        <v>997</v>
      </c>
      <c r="B218" s="8">
        <v>13.75</v>
      </c>
      <c r="C218" s="7">
        <f t="shared" si="3"/>
        <v>1.0793911082132235</v>
      </c>
    </row>
    <row r="219" spans="1:3" x14ac:dyDescent="0.3">
      <c r="A219" s="6" t="s">
        <v>151</v>
      </c>
      <c r="B219" s="8">
        <v>13.75</v>
      </c>
      <c r="C219" s="7">
        <f t="shared" si="3"/>
        <v>1.0793911082132235</v>
      </c>
    </row>
    <row r="220" spans="1:3" x14ac:dyDescent="0.3">
      <c r="A220" s="6" t="s">
        <v>152</v>
      </c>
      <c r="B220" s="8">
        <v>13.75</v>
      </c>
      <c r="C220" s="7">
        <f t="shared" si="3"/>
        <v>1.0793911082132235</v>
      </c>
    </row>
    <row r="221" spans="1:3" x14ac:dyDescent="0.3">
      <c r="A221" s="6" t="s">
        <v>153</v>
      </c>
      <c r="B221" s="8">
        <v>13.75</v>
      </c>
      <c r="C221" s="7">
        <f t="shared" si="3"/>
        <v>1.0793911082132235</v>
      </c>
    </row>
    <row r="222" spans="1:3" x14ac:dyDescent="0.3">
      <c r="A222" s="6" t="s">
        <v>154</v>
      </c>
      <c r="B222" s="8">
        <v>13.25</v>
      </c>
      <c r="C222" s="7">
        <f t="shared" si="3"/>
        <v>1.0422908867375291</v>
      </c>
    </row>
    <row r="223" spans="1:3" x14ac:dyDescent="0.3">
      <c r="A223" s="6" t="s">
        <v>155</v>
      </c>
      <c r="B223" s="8">
        <v>13.25</v>
      </c>
      <c r="C223" s="7">
        <f t="shared" si="3"/>
        <v>1.0422908867375291</v>
      </c>
    </row>
    <row r="224" spans="1:3" x14ac:dyDescent="0.3">
      <c r="A224" s="6" t="s">
        <v>998</v>
      </c>
      <c r="B224" s="8">
        <v>13.25</v>
      </c>
      <c r="C224" s="7">
        <f t="shared" si="3"/>
        <v>1.0422908867375291</v>
      </c>
    </row>
    <row r="225" spans="1:3" x14ac:dyDescent="0.3">
      <c r="A225" s="6" t="s">
        <v>999</v>
      </c>
      <c r="B225" s="8">
        <v>13.25</v>
      </c>
      <c r="C225" s="7">
        <f t="shared" si="3"/>
        <v>1.0422908867375291</v>
      </c>
    </row>
    <row r="226" spans="1:3" x14ac:dyDescent="0.3">
      <c r="A226" s="6" t="s">
        <v>156</v>
      </c>
      <c r="B226" s="8">
        <v>13.25</v>
      </c>
      <c r="C226" s="7">
        <f t="shared" si="3"/>
        <v>1.0422908867375291</v>
      </c>
    </row>
    <row r="227" spans="1:3" x14ac:dyDescent="0.3">
      <c r="A227" s="6" t="s">
        <v>157</v>
      </c>
      <c r="B227" s="8">
        <v>13.25</v>
      </c>
      <c r="C227" s="7">
        <f t="shared" si="3"/>
        <v>1.0422908867375291</v>
      </c>
    </row>
    <row r="228" spans="1:3" x14ac:dyDescent="0.3">
      <c r="A228" s="6" t="s">
        <v>158</v>
      </c>
      <c r="B228" s="8">
        <v>13.25</v>
      </c>
      <c r="C228" s="7">
        <f t="shared" si="3"/>
        <v>1.0422908867375291</v>
      </c>
    </row>
    <row r="229" spans="1:3" x14ac:dyDescent="0.3">
      <c r="A229" s="6" t="s">
        <v>159</v>
      </c>
      <c r="B229" s="8">
        <v>13.25</v>
      </c>
      <c r="C229" s="7">
        <f t="shared" si="3"/>
        <v>1.0422908867375291</v>
      </c>
    </row>
    <row r="230" spans="1:3" x14ac:dyDescent="0.3">
      <c r="A230" s="6" t="s">
        <v>160</v>
      </c>
      <c r="B230" s="8">
        <v>13.25</v>
      </c>
      <c r="C230" s="7">
        <f t="shared" si="3"/>
        <v>1.0422908867375291</v>
      </c>
    </row>
    <row r="231" spans="1:3" x14ac:dyDescent="0.3">
      <c r="A231" s="6" t="s">
        <v>1000</v>
      </c>
      <c r="B231" s="8">
        <v>13.25</v>
      </c>
      <c r="C231" s="7">
        <f t="shared" si="3"/>
        <v>1.0422908867375291</v>
      </c>
    </row>
    <row r="232" spans="1:3" x14ac:dyDescent="0.3">
      <c r="A232" s="6" t="s">
        <v>1001</v>
      </c>
      <c r="B232" s="8">
        <v>13.25</v>
      </c>
      <c r="C232" s="7">
        <f t="shared" si="3"/>
        <v>1.0422908867375291</v>
      </c>
    </row>
    <row r="233" spans="1:3" x14ac:dyDescent="0.3">
      <c r="A233" s="6" t="s">
        <v>161</v>
      </c>
      <c r="B233" s="8">
        <v>13.25</v>
      </c>
      <c r="C233" s="7">
        <f t="shared" si="3"/>
        <v>1.0422908867375291</v>
      </c>
    </row>
    <row r="234" spans="1:3" x14ac:dyDescent="0.3">
      <c r="A234" s="6" t="s">
        <v>162</v>
      </c>
      <c r="B234" s="8">
        <v>13.25</v>
      </c>
      <c r="C234" s="7">
        <f t="shared" si="3"/>
        <v>1.0422908867375291</v>
      </c>
    </row>
    <row r="235" spans="1:3" x14ac:dyDescent="0.3">
      <c r="A235" s="6" t="s">
        <v>163</v>
      </c>
      <c r="B235" s="8">
        <v>13.25</v>
      </c>
      <c r="C235" s="7">
        <f t="shared" si="3"/>
        <v>1.0422908867375291</v>
      </c>
    </row>
    <row r="236" spans="1:3" x14ac:dyDescent="0.3">
      <c r="A236" s="6" t="s">
        <v>164</v>
      </c>
      <c r="B236" s="8">
        <v>13.25</v>
      </c>
      <c r="C236" s="7">
        <f t="shared" si="3"/>
        <v>1.0422908867375291</v>
      </c>
    </row>
    <row r="237" spans="1:3" x14ac:dyDescent="0.3">
      <c r="A237" s="6" t="s">
        <v>165</v>
      </c>
      <c r="B237" s="8">
        <v>13.25</v>
      </c>
      <c r="C237" s="7">
        <f t="shared" si="3"/>
        <v>1.0422908867375291</v>
      </c>
    </row>
    <row r="238" spans="1:3" x14ac:dyDescent="0.3">
      <c r="A238" s="6" t="s">
        <v>1002</v>
      </c>
      <c r="B238" s="8">
        <v>13.25</v>
      </c>
      <c r="C238" s="7">
        <f t="shared" si="3"/>
        <v>1.0422908867375291</v>
      </c>
    </row>
    <row r="239" spans="1:3" x14ac:dyDescent="0.3">
      <c r="A239" s="6" t="s">
        <v>1003</v>
      </c>
      <c r="B239" s="8">
        <v>13.25</v>
      </c>
      <c r="C239" s="7">
        <f t="shared" si="3"/>
        <v>1.0422908867375291</v>
      </c>
    </row>
    <row r="240" spans="1:3" x14ac:dyDescent="0.3">
      <c r="A240" s="6" t="s">
        <v>166</v>
      </c>
      <c r="B240" s="8">
        <v>13.25</v>
      </c>
      <c r="C240" s="7">
        <f t="shared" si="3"/>
        <v>1.0422908867375291</v>
      </c>
    </row>
    <row r="241" spans="1:3" x14ac:dyDescent="0.3">
      <c r="A241" s="6" t="s">
        <v>167</v>
      </c>
      <c r="B241" s="8">
        <v>13.25</v>
      </c>
      <c r="C241" s="7">
        <f t="shared" si="3"/>
        <v>1.0422908867375291</v>
      </c>
    </row>
    <row r="242" spans="1:3" x14ac:dyDescent="0.3">
      <c r="A242" s="6" t="s">
        <v>168</v>
      </c>
      <c r="B242" s="8">
        <v>13.25</v>
      </c>
      <c r="C242" s="7">
        <f t="shared" si="3"/>
        <v>1.0422908867375291</v>
      </c>
    </row>
    <row r="243" spans="1:3" x14ac:dyDescent="0.3">
      <c r="A243" s="6" t="s">
        <v>169</v>
      </c>
      <c r="B243" s="8">
        <v>13.25</v>
      </c>
      <c r="C243" s="7">
        <f t="shared" si="3"/>
        <v>1.0422908867375291</v>
      </c>
    </row>
    <row r="244" spans="1:3" x14ac:dyDescent="0.3">
      <c r="A244" s="6" t="s">
        <v>170</v>
      </c>
      <c r="B244" s="8">
        <v>13.25</v>
      </c>
      <c r="C244" s="7">
        <f t="shared" si="3"/>
        <v>1.0422908867375291</v>
      </c>
    </row>
    <row r="245" spans="1:3" x14ac:dyDescent="0.3">
      <c r="A245" s="6" t="s">
        <v>1004</v>
      </c>
      <c r="B245" s="8">
        <v>13.25</v>
      </c>
      <c r="C245" s="7">
        <f t="shared" si="3"/>
        <v>1.0422908867375291</v>
      </c>
    </row>
    <row r="246" spans="1:3" x14ac:dyDescent="0.3">
      <c r="A246" s="6" t="s">
        <v>1005</v>
      </c>
      <c r="B246" s="8">
        <v>13.25</v>
      </c>
      <c r="C246" s="7">
        <f t="shared" si="3"/>
        <v>1.0422908867375291</v>
      </c>
    </row>
    <row r="247" spans="1:3" x14ac:dyDescent="0.3">
      <c r="A247" s="6" t="s">
        <v>171</v>
      </c>
      <c r="B247" s="8">
        <v>13.25</v>
      </c>
      <c r="C247" s="7">
        <f t="shared" si="3"/>
        <v>1.0422908867375291</v>
      </c>
    </row>
    <row r="248" spans="1:3" x14ac:dyDescent="0.3">
      <c r="A248" s="6" t="s">
        <v>172</v>
      </c>
      <c r="B248" s="8">
        <v>13.25</v>
      </c>
      <c r="C248" s="7">
        <f t="shared" si="3"/>
        <v>1.0422908867375291</v>
      </c>
    </row>
    <row r="249" spans="1:3" x14ac:dyDescent="0.3">
      <c r="A249" s="6" t="s">
        <v>173</v>
      </c>
      <c r="B249" s="8">
        <v>13.25</v>
      </c>
      <c r="C249" s="7">
        <f t="shared" si="3"/>
        <v>1.0422908867375291</v>
      </c>
    </row>
    <row r="250" spans="1:3" x14ac:dyDescent="0.3">
      <c r="A250" s="6" t="s">
        <v>174</v>
      </c>
      <c r="B250" s="8">
        <v>13.25</v>
      </c>
      <c r="C250" s="7">
        <f t="shared" si="3"/>
        <v>1.0422908867375291</v>
      </c>
    </row>
    <row r="251" spans="1:3" x14ac:dyDescent="0.3">
      <c r="A251" s="6" t="s">
        <v>175</v>
      </c>
      <c r="B251" s="8">
        <v>13.25</v>
      </c>
      <c r="C251" s="7">
        <f t="shared" si="3"/>
        <v>1.0422908867375291</v>
      </c>
    </row>
    <row r="252" spans="1:3" x14ac:dyDescent="0.3">
      <c r="A252" s="6" t="s">
        <v>1006</v>
      </c>
      <c r="B252" s="8">
        <v>13.25</v>
      </c>
      <c r="C252" s="7">
        <f t="shared" si="3"/>
        <v>1.0422908867375291</v>
      </c>
    </row>
    <row r="253" spans="1:3" x14ac:dyDescent="0.3">
      <c r="A253" s="6" t="s">
        <v>1007</v>
      </c>
      <c r="B253" s="8">
        <v>13.25</v>
      </c>
      <c r="C253" s="7">
        <f t="shared" si="3"/>
        <v>1.0422908867375291</v>
      </c>
    </row>
    <row r="254" spans="1:3" x14ac:dyDescent="0.3">
      <c r="A254" s="6" t="s">
        <v>176</v>
      </c>
      <c r="B254" s="8">
        <v>13.25</v>
      </c>
      <c r="C254" s="7">
        <f t="shared" si="3"/>
        <v>1.0422908867375291</v>
      </c>
    </row>
    <row r="255" spans="1:3" x14ac:dyDescent="0.3">
      <c r="A255" s="6" t="s">
        <v>177</v>
      </c>
      <c r="B255" s="8">
        <v>13.25</v>
      </c>
      <c r="C255" s="7">
        <f t="shared" si="3"/>
        <v>1.0422908867375291</v>
      </c>
    </row>
    <row r="256" spans="1:3" x14ac:dyDescent="0.3">
      <c r="A256" s="6" t="s">
        <v>178</v>
      </c>
      <c r="B256" s="8">
        <v>13.25</v>
      </c>
      <c r="C256" s="7">
        <f t="shared" si="3"/>
        <v>1.0422908867375291</v>
      </c>
    </row>
    <row r="257" spans="1:3" x14ac:dyDescent="0.3">
      <c r="A257" s="6" t="s">
        <v>1008</v>
      </c>
      <c r="B257" s="8">
        <v>13.25</v>
      </c>
      <c r="C257" s="7">
        <f t="shared" si="3"/>
        <v>1.0422908867375291</v>
      </c>
    </row>
    <row r="258" spans="1:3" x14ac:dyDescent="0.3">
      <c r="A258" s="6" t="s">
        <v>179</v>
      </c>
      <c r="B258" s="8">
        <v>13.25</v>
      </c>
      <c r="C258" s="7">
        <f t="shared" si="3"/>
        <v>1.0422908867375291</v>
      </c>
    </row>
    <row r="259" spans="1:3" x14ac:dyDescent="0.3">
      <c r="A259" s="6" t="s">
        <v>1009</v>
      </c>
      <c r="B259" s="8">
        <v>13.25</v>
      </c>
      <c r="C259" s="7">
        <f t="shared" si="3"/>
        <v>1.0422908867375291</v>
      </c>
    </row>
    <row r="260" spans="1:3" x14ac:dyDescent="0.3">
      <c r="A260" s="6" t="s">
        <v>1010</v>
      </c>
      <c r="B260" s="8">
        <v>13.25</v>
      </c>
      <c r="C260" s="7">
        <f t="shared" si="3"/>
        <v>1.0422908867375291</v>
      </c>
    </row>
    <row r="261" spans="1:3" x14ac:dyDescent="0.3">
      <c r="A261" s="6" t="s">
        <v>180</v>
      </c>
      <c r="B261" s="8">
        <v>13.25</v>
      </c>
      <c r="C261" s="7">
        <f t="shared" si="3"/>
        <v>1.0422908867375291</v>
      </c>
    </row>
    <row r="262" spans="1:3" x14ac:dyDescent="0.3">
      <c r="A262" s="6" t="s">
        <v>181</v>
      </c>
      <c r="B262" s="8">
        <v>13.25</v>
      </c>
      <c r="C262" s="7">
        <f t="shared" si="3"/>
        <v>1.0422908867375291</v>
      </c>
    </row>
    <row r="263" spans="1:3" x14ac:dyDescent="0.3">
      <c r="A263" s="6" t="s">
        <v>182</v>
      </c>
      <c r="B263" s="8">
        <v>13.25</v>
      </c>
      <c r="C263" s="7">
        <f t="shared" si="3"/>
        <v>1.0422908867375291</v>
      </c>
    </row>
    <row r="264" spans="1:3" x14ac:dyDescent="0.3">
      <c r="A264" s="6" t="s">
        <v>183</v>
      </c>
      <c r="B264" s="8">
        <v>13.25</v>
      </c>
      <c r="C264" s="7">
        <f t="shared" ref="C264:C327" si="4">((1+B264/100)^(1/12)-1)*100</f>
        <v>1.0422908867375291</v>
      </c>
    </row>
    <row r="265" spans="1:3" x14ac:dyDescent="0.3">
      <c r="A265" s="6" t="s">
        <v>184</v>
      </c>
      <c r="B265" s="8">
        <v>13.25</v>
      </c>
      <c r="C265" s="7">
        <f t="shared" si="4"/>
        <v>1.0422908867375291</v>
      </c>
    </row>
    <row r="266" spans="1:3" x14ac:dyDescent="0.3">
      <c r="A266" s="6" t="s">
        <v>1011</v>
      </c>
      <c r="B266" s="8">
        <v>13.25</v>
      </c>
      <c r="C266" s="7">
        <f t="shared" si="4"/>
        <v>1.0422908867375291</v>
      </c>
    </row>
    <row r="267" spans="1:3" x14ac:dyDescent="0.3">
      <c r="A267" s="6" t="s">
        <v>1012</v>
      </c>
      <c r="B267" s="8">
        <v>13.25</v>
      </c>
      <c r="C267" s="7">
        <f t="shared" si="4"/>
        <v>1.0422908867375291</v>
      </c>
    </row>
    <row r="268" spans="1:3" x14ac:dyDescent="0.3">
      <c r="A268" s="6" t="s">
        <v>185</v>
      </c>
      <c r="B268" s="8">
        <v>13.25</v>
      </c>
      <c r="C268" s="7">
        <f t="shared" si="4"/>
        <v>1.0422908867375291</v>
      </c>
    </row>
    <row r="269" spans="1:3" x14ac:dyDescent="0.3">
      <c r="A269" s="6" t="s">
        <v>186</v>
      </c>
      <c r="B269" s="8">
        <v>13.25</v>
      </c>
      <c r="C269" s="7">
        <f t="shared" si="4"/>
        <v>1.0422908867375291</v>
      </c>
    </row>
    <row r="270" spans="1:3" x14ac:dyDescent="0.3">
      <c r="A270" s="6" t="s">
        <v>187</v>
      </c>
      <c r="B270" s="8">
        <v>13.25</v>
      </c>
      <c r="C270" s="7">
        <f t="shared" si="4"/>
        <v>1.0422908867375291</v>
      </c>
    </row>
    <row r="271" spans="1:3" x14ac:dyDescent="0.3">
      <c r="A271" s="6" t="s">
        <v>188</v>
      </c>
      <c r="B271" s="8">
        <v>12.75</v>
      </c>
      <c r="C271" s="7">
        <f t="shared" si="4"/>
        <v>1.0050402122422808</v>
      </c>
    </row>
    <row r="272" spans="1:3" x14ac:dyDescent="0.3">
      <c r="A272" s="6" t="s">
        <v>189</v>
      </c>
      <c r="B272" s="8">
        <v>12.75</v>
      </c>
      <c r="C272" s="7">
        <f t="shared" si="4"/>
        <v>1.0050402122422808</v>
      </c>
    </row>
    <row r="273" spans="1:3" x14ac:dyDescent="0.3">
      <c r="A273" s="6" t="s">
        <v>1013</v>
      </c>
      <c r="B273" s="8">
        <v>12.75</v>
      </c>
      <c r="C273" s="7">
        <f t="shared" si="4"/>
        <v>1.0050402122422808</v>
      </c>
    </row>
    <row r="274" spans="1:3" x14ac:dyDescent="0.3">
      <c r="A274" s="6" t="s">
        <v>1014</v>
      </c>
      <c r="B274" s="8">
        <v>12.75</v>
      </c>
      <c r="C274" s="7">
        <f t="shared" si="4"/>
        <v>1.0050402122422808</v>
      </c>
    </row>
    <row r="275" spans="1:3" x14ac:dyDescent="0.3">
      <c r="A275" s="6" t="s">
        <v>190</v>
      </c>
      <c r="B275" s="8">
        <v>12.75</v>
      </c>
      <c r="C275" s="7">
        <f t="shared" si="4"/>
        <v>1.0050402122422808</v>
      </c>
    </row>
    <row r="276" spans="1:3" x14ac:dyDescent="0.3">
      <c r="A276" s="6" t="s">
        <v>191</v>
      </c>
      <c r="B276" s="8">
        <v>12.75</v>
      </c>
      <c r="C276" s="7">
        <f t="shared" si="4"/>
        <v>1.0050402122422808</v>
      </c>
    </row>
    <row r="277" spans="1:3" x14ac:dyDescent="0.3">
      <c r="A277" s="6" t="s">
        <v>192</v>
      </c>
      <c r="B277" s="8">
        <v>12.75</v>
      </c>
      <c r="C277" s="7">
        <f t="shared" si="4"/>
        <v>1.0050402122422808</v>
      </c>
    </row>
    <row r="278" spans="1:3" x14ac:dyDescent="0.3">
      <c r="A278" s="6" t="s">
        <v>193</v>
      </c>
      <c r="B278" s="8">
        <v>12.75</v>
      </c>
      <c r="C278" s="7">
        <f t="shared" si="4"/>
        <v>1.0050402122422808</v>
      </c>
    </row>
    <row r="279" spans="1:3" x14ac:dyDescent="0.3">
      <c r="A279" s="6" t="s">
        <v>194</v>
      </c>
      <c r="B279" s="8">
        <v>12.75</v>
      </c>
      <c r="C279" s="7">
        <f t="shared" si="4"/>
        <v>1.0050402122422808</v>
      </c>
    </row>
    <row r="280" spans="1:3" x14ac:dyDescent="0.3">
      <c r="A280" s="6" t="s">
        <v>1015</v>
      </c>
      <c r="B280" s="8">
        <v>12.75</v>
      </c>
      <c r="C280" s="7">
        <f t="shared" si="4"/>
        <v>1.0050402122422808</v>
      </c>
    </row>
    <row r="281" spans="1:3" x14ac:dyDescent="0.3">
      <c r="A281" s="6" t="s">
        <v>1016</v>
      </c>
      <c r="B281" s="8">
        <v>12.75</v>
      </c>
      <c r="C281" s="7">
        <f t="shared" si="4"/>
        <v>1.0050402122422808</v>
      </c>
    </row>
    <row r="282" spans="1:3" x14ac:dyDescent="0.3">
      <c r="A282" s="6" t="s">
        <v>195</v>
      </c>
      <c r="B282" s="8">
        <v>12.75</v>
      </c>
      <c r="C282" s="7">
        <f t="shared" si="4"/>
        <v>1.0050402122422808</v>
      </c>
    </row>
    <row r="283" spans="1:3" x14ac:dyDescent="0.3">
      <c r="A283" s="6" t="s">
        <v>196</v>
      </c>
      <c r="B283" s="8">
        <v>12.75</v>
      </c>
      <c r="C283" s="7">
        <f t="shared" si="4"/>
        <v>1.0050402122422808</v>
      </c>
    </row>
    <row r="284" spans="1:3" x14ac:dyDescent="0.3">
      <c r="A284" s="6" t="s">
        <v>197</v>
      </c>
      <c r="B284" s="8">
        <v>12.75</v>
      </c>
      <c r="C284" s="7">
        <f t="shared" si="4"/>
        <v>1.0050402122422808</v>
      </c>
    </row>
    <row r="285" spans="1:3" x14ac:dyDescent="0.3">
      <c r="A285" s="6" t="s">
        <v>198</v>
      </c>
      <c r="B285" s="8">
        <v>12.75</v>
      </c>
      <c r="C285" s="7">
        <f t="shared" si="4"/>
        <v>1.0050402122422808</v>
      </c>
    </row>
    <row r="286" spans="1:3" x14ac:dyDescent="0.3">
      <c r="A286" s="6" t="s">
        <v>199</v>
      </c>
      <c r="B286" s="8">
        <v>12.75</v>
      </c>
      <c r="C286" s="7">
        <f t="shared" si="4"/>
        <v>1.0050402122422808</v>
      </c>
    </row>
    <row r="287" spans="1:3" x14ac:dyDescent="0.3">
      <c r="A287" s="6" t="s">
        <v>1017</v>
      </c>
      <c r="B287" s="8">
        <v>12.75</v>
      </c>
      <c r="C287" s="7">
        <f t="shared" si="4"/>
        <v>1.0050402122422808</v>
      </c>
    </row>
    <row r="288" spans="1:3" x14ac:dyDescent="0.3">
      <c r="A288" s="6" t="s">
        <v>1018</v>
      </c>
      <c r="B288" s="8">
        <v>12.75</v>
      </c>
      <c r="C288" s="7">
        <f t="shared" si="4"/>
        <v>1.0050402122422808</v>
      </c>
    </row>
    <row r="289" spans="1:3" x14ac:dyDescent="0.3">
      <c r="A289" s="6" t="s">
        <v>200</v>
      </c>
      <c r="B289" s="8">
        <v>12.75</v>
      </c>
      <c r="C289" s="7">
        <f t="shared" si="4"/>
        <v>1.0050402122422808</v>
      </c>
    </row>
    <row r="290" spans="1:3" x14ac:dyDescent="0.3">
      <c r="A290" s="6" t="s">
        <v>201</v>
      </c>
      <c r="B290" s="8">
        <v>12.75</v>
      </c>
      <c r="C290" s="7">
        <f t="shared" si="4"/>
        <v>1.0050402122422808</v>
      </c>
    </row>
    <row r="291" spans="1:3" x14ac:dyDescent="0.3">
      <c r="A291" s="6" t="s">
        <v>202</v>
      </c>
      <c r="B291" s="8">
        <v>12.75</v>
      </c>
      <c r="C291" s="7">
        <f t="shared" si="4"/>
        <v>1.0050402122422808</v>
      </c>
    </row>
    <row r="292" spans="1:3" x14ac:dyDescent="0.3">
      <c r="A292" s="6" t="s">
        <v>1019</v>
      </c>
      <c r="B292" s="8">
        <v>12.75</v>
      </c>
      <c r="C292" s="7">
        <f t="shared" si="4"/>
        <v>1.0050402122422808</v>
      </c>
    </row>
    <row r="293" spans="1:3" x14ac:dyDescent="0.3">
      <c r="A293" s="6" t="s">
        <v>203</v>
      </c>
      <c r="B293" s="8">
        <v>12.75</v>
      </c>
      <c r="C293" s="7">
        <f t="shared" si="4"/>
        <v>1.0050402122422808</v>
      </c>
    </row>
    <row r="294" spans="1:3" x14ac:dyDescent="0.3">
      <c r="A294" s="6" t="s">
        <v>1020</v>
      </c>
      <c r="B294" s="8">
        <v>12.75</v>
      </c>
      <c r="C294" s="7">
        <f t="shared" si="4"/>
        <v>1.0050402122422808</v>
      </c>
    </row>
    <row r="295" spans="1:3" x14ac:dyDescent="0.3">
      <c r="A295" s="6" t="s">
        <v>1021</v>
      </c>
      <c r="B295" s="8">
        <v>12.75</v>
      </c>
      <c r="C295" s="7">
        <f t="shared" si="4"/>
        <v>1.0050402122422808</v>
      </c>
    </row>
    <row r="296" spans="1:3" x14ac:dyDescent="0.3">
      <c r="A296" s="6" t="s">
        <v>204</v>
      </c>
      <c r="B296" s="8">
        <v>12.75</v>
      </c>
      <c r="C296" s="7">
        <f t="shared" si="4"/>
        <v>1.0050402122422808</v>
      </c>
    </row>
    <row r="297" spans="1:3" x14ac:dyDescent="0.3">
      <c r="A297" s="6" t="s">
        <v>205</v>
      </c>
      <c r="B297" s="8">
        <v>12.75</v>
      </c>
      <c r="C297" s="7">
        <f t="shared" si="4"/>
        <v>1.0050402122422808</v>
      </c>
    </row>
    <row r="298" spans="1:3" x14ac:dyDescent="0.3">
      <c r="A298" s="6" t="s">
        <v>206</v>
      </c>
      <c r="B298" s="8">
        <v>12.75</v>
      </c>
      <c r="C298" s="7">
        <f t="shared" si="4"/>
        <v>1.0050402122422808</v>
      </c>
    </row>
    <row r="299" spans="1:3" x14ac:dyDescent="0.3">
      <c r="A299" s="6" t="s">
        <v>207</v>
      </c>
      <c r="B299" s="8">
        <v>12.75</v>
      </c>
      <c r="C299" s="7">
        <f t="shared" si="4"/>
        <v>1.0050402122422808</v>
      </c>
    </row>
    <row r="300" spans="1:3" x14ac:dyDescent="0.3">
      <c r="A300" s="6" t="s">
        <v>208</v>
      </c>
      <c r="B300" s="8">
        <v>12.75</v>
      </c>
      <c r="C300" s="7">
        <f t="shared" si="4"/>
        <v>1.0050402122422808</v>
      </c>
    </row>
    <row r="301" spans="1:3" x14ac:dyDescent="0.3">
      <c r="A301" s="6" t="s">
        <v>1022</v>
      </c>
      <c r="B301" s="8">
        <v>12.75</v>
      </c>
      <c r="C301" s="7">
        <f t="shared" si="4"/>
        <v>1.0050402122422808</v>
      </c>
    </row>
    <row r="302" spans="1:3" x14ac:dyDescent="0.3">
      <c r="A302" s="6" t="s">
        <v>1023</v>
      </c>
      <c r="B302" s="8">
        <v>12.75</v>
      </c>
      <c r="C302" s="7">
        <f t="shared" si="4"/>
        <v>1.0050402122422808</v>
      </c>
    </row>
    <row r="303" spans="1:3" x14ac:dyDescent="0.3">
      <c r="A303" s="6" t="s">
        <v>209</v>
      </c>
      <c r="B303" s="8">
        <v>12.75</v>
      </c>
      <c r="C303" s="7">
        <f t="shared" si="4"/>
        <v>1.0050402122422808</v>
      </c>
    </row>
    <row r="304" spans="1:3" x14ac:dyDescent="0.3">
      <c r="A304" s="6" t="s">
        <v>210</v>
      </c>
      <c r="B304" s="8">
        <v>12.75</v>
      </c>
      <c r="C304" s="7">
        <f t="shared" si="4"/>
        <v>1.0050402122422808</v>
      </c>
    </row>
    <row r="305" spans="1:3" x14ac:dyDescent="0.3">
      <c r="A305" s="6" t="s">
        <v>211</v>
      </c>
      <c r="B305" s="8">
        <v>12.75</v>
      </c>
      <c r="C305" s="7">
        <f t="shared" si="4"/>
        <v>1.0050402122422808</v>
      </c>
    </row>
    <row r="306" spans="1:3" x14ac:dyDescent="0.3">
      <c r="A306" s="6" t="s">
        <v>212</v>
      </c>
      <c r="B306" s="8">
        <v>12.75</v>
      </c>
      <c r="C306" s="7">
        <f t="shared" si="4"/>
        <v>1.0050402122422808</v>
      </c>
    </row>
    <row r="307" spans="1:3" x14ac:dyDescent="0.3">
      <c r="A307" s="6" t="s">
        <v>213</v>
      </c>
      <c r="B307" s="8">
        <v>12.75</v>
      </c>
      <c r="C307" s="7">
        <f t="shared" si="4"/>
        <v>1.0050402122422808</v>
      </c>
    </row>
    <row r="308" spans="1:3" x14ac:dyDescent="0.3">
      <c r="A308" s="6" t="s">
        <v>1024</v>
      </c>
      <c r="B308" s="8">
        <v>12.75</v>
      </c>
      <c r="C308" s="7">
        <f t="shared" si="4"/>
        <v>1.0050402122422808</v>
      </c>
    </row>
    <row r="309" spans="1:3" x14ac:dyDescent="0.3">
      <c r="A309" s="6" t="s">
        <v>1025</v>
      </c>
      <c r="B309" s="8">
        <v>12.75</v>
      </c>
      <c r="C309" s="7">
        <f t="shared" si="4"/>
        <v>1.0050402122422808</v>
      </c>
    </row>
    <row r="310" spans="1:3" x14ac:dyDescent="0.3">
      <c r="A310" s="6" t="s">
        <v>214</v>
      </c>
      <c r="B310" s="8">
        <v>12.75</v>
      </c>
      <c r="C310" s="7">
        <f t="shared" si="4"/>
        <v>1.0050402122422808</v>
      </c>
    </row>
    <row r="311" spans="1:3" x14ac:dyDescent="0.3">
      <c r="A311" s="6" t="s">
        <v>215</v>
      </c>
      <c r="B311" s="8">
        <v>12.75</v>
      </c>
      <c r="C311" s="7">
        <f t="shared" si="4"/>
        <v>1.0050402122422808</v>
      </c>
    </row>
    <row r="312" spans="1:3" x14ac:dyDescent="0.3">
      <c r="A312" s="6" t="s">
        <v>216</v>
      </c>
      <c r="B312" s="8">
        <v>12.75</v>
      </c>
      <c r="C312" s="7">
        <f t="shared" si="4"/>
        <v>1.0050402122422808</v>
      </c>
    </row>
    <row r="313" spans="1:3" x14ac:dyDescent="0.3">
      <c r="A313" s="6" t="s">
        <v>1026</v>
      </c>
      <c r="B313" s="8">
        <v>12.25</v>
      </c>
      <c r="C313" s="7">
        <f t="shared" si="4"/>
        <v>0.96763780332134175</v>
      </c>
    </row>
    <row r="314" spans="1:3" x14ac:dyDescent="0.3">
      <c r="A314" s="6" t="s">
        <v>217</v>
      </c>
      <c r="B314" s="8">
        <v>12.25</v>
      </c>
      <c r="C314" s="7">
        <f t="shared" si="4"/>
        <v>0.96763780332134175</v>
      </c>
    </row>
    <row r="315" spans="1:3" x14ac:dyDescent="0.3">
      <c r="A315" s="6" t="s">
        <v>1027</v>
      </c>
      <c r="B315" s="8">
        <v>12.25</v>
      </c>
      <c r="C315" s="7">
        <f t="shared" si="4"/>
        <v>0.96763780332134175</v>
      </c>
    </row>
    <row r="316" spans="1:3" x14ac:dyDescent="0.3">
      <c r="A316" s="6" t="s">
        <v>1028</v>
      </c>
      <c r="B316" s="8">
        <v>12.25</v>
      </c>
      <c r="C316" s="7">
        <f t="shared" si="4"/>
        <v>0.96763780332134175</v>
      </c>
    </row>
    <row r="317" spans="1:3" x14ac:dyDescent="0.3">
      <c r="A317" s="6" t="s">
        <v>218</v>
      </c>
      <c r="B317" s="8">
        <v>12.25</v>
      </c>
      <c r="C317" s="7">
        <f t="shared" si="4"/>
        <v>0.96763780332134175</v>
      </c>
    </row>
    <row r="318" spans="1:3" x14ac:dyDescent="0.3">
      <c r="A318" s="6" t="s">
        <v>219</v>
      </c>
      <c r="B318" s="8">
        <v>12.25</v>
      </c>
      <c r="C318" s="7">
        <f t="shared" si="4"/>
        <v>0.96763780332134175</v>
      </c>
    </row>
    <row r="319" spans="1:3" x14ac:dyDescent="0.3">
      <c r="A319" s="6" t="s">
        <v>220</v>
      </c>
      <c r="B319" s="8">
        <v>12.25</v>
      </c>
      <c r="C319" s="7">
        <f t="shared" si="4"/>
        <v>0.96763780332134175</v>
      </c>
    </row>
    <row r="320" spans="1:3" x14ac:dyDescent="0.3">
      <c r="A320" s="6" t="s">
        <v>221</v>
      </c>
      <c r="B320" s="8">
        <v>12.25</v>
      </c>
      <c r="C320" s="7">
        <f t="shared" si="4"/>
        <v>0.96763780332134175</v>
      </c>
    </row>
    <row r="321" spans="1:3" x14ac:dyDescent="0.3">
      <c r="A321" s="6" t="s">
        <v>222</v>
      </c>
      <c r="B321" s="8">
        <v>12.25</v>
      </c>
      <c r="C321" s="7">
        <f t="shared" si="4"/>
        <v>0.96763780332134175</v>
      </c>
    </row>
    <row r="322" spans="1:3" x14ac:dyDescent="0.3">
      <c r="A322" s="6" t="s">
        <v>1029</v>
      </c>
      <c r="B322" s="8">
        <v>12.25</v>
      </c>
      <c r="C322" s="7">
        <f t="shared" si="4"/>
        <v>0.96763780332134175</v>
      </c>
    </row>
    <row r="323" spans="1:3" x14ac:dyDescent="0.3">
      <c r="A323" s="6" t="s">
        <v>1030</v>
      </c>
      <c r="B323" s="8">
        <v>12.25</v>
      </c>
      <c r="C323" s="7">
        <f t="shared" si="4"/>
        <v>0.96763780332134175</v>
      </c>
    </row>
    <row r="324" spans="1:3" x14ac:dyDescent="0.3">
      <c r="A324" s="6" t="s">
        <v>223</v>
      </c>
      <c r="B324" s="8">
        <v>12.25</v>
      </c>
      <c r="C324" s="7">
        <f t="shared" si="4"/>
        <v>0.96763780332134175</v>
      </c>
    </row>
    <row r="325" spans="1:3" x14ac:dyDescent="0.3">
      <c r="A325" s="6" t="s">
        <v>224</v>
      </c>
      <c r="B325" s="8">
        <v>12.25</v>
      </c>
      <c r="C325" s="7">
        <f t="shared" si="4"/>
        <v>0.96763780332134175</v>
      </c>
    </row>
    <row r="326" spans="1:3" x14ac:dyDescent="0.3">
      <c r="A326" s="6" t="s">
        <v>1031</v>
      </c>
      <c r="B326" s="8">
        <v>12.25</v>
      </c>
      <c r="C326" s="7">
        <f t="shared" si="4"/>
        <v>0.96763780332134175</v>
      </c>
    </row>
    <row r="327" spans="1:3" x14ac:dyDescent="0.3">
      <c r="A327" s="6" t="s">
        <v>225</v>
      </c>
      <c r="B327" s="8">
        <v>12.25</v>
      </c>
      <c r="C327" s="7">
        <f t="shared" si="4"/>
        <v>0.96763780332134175</v>
      </c>
    </row>
    <row r="328" spans="1:3" x14ac:dyDescent="0.3">
      <c r="A328" s="6" t="s">
        <v>226</v>
      </c>
      <c r="B328" s="8">
        <v>12.25</v>
      </c>
      <c r="C328" s="7">
        <f t="shared" ref="C328:C391" si="5">((1+B328/100)^(1/12)-1)*100</f>
        <v>0.96763780332134175</v>
      </c>
    </row>
    <row r="329" spans="1:3" x14ac:dyDescent="0.3">
      <c r="A329" s="6" t="s">
        <v>1032</v>
      </c>
      <c r="B329" s="8">
        <v>12.25</v>
      </c>
      <c r="C329" s="7">
        <f t="shared" si="5"/>
        <v>0.96763780332134175</v>
      </c>
    </row>
    <row r="330" spans="1:3" x14ac:dyDescent="0.3">
      <c r="A330" s="6" t="s">
        <v>1033</v>
      </c>
      <c r="B330" s="8">
        <v>12.25</v>
      </c>
      <c r="C330" s="7">
        <f t="shared" si="5"/>
        <v>0.96763780332134175</v>
      </c>
    </row>
    <row r="331" spans="1:3" x14ac:dyDescent="0.3">
      <c r="A331" s="6" t="s">
        <v>227</v>
      </c>
      <c r="B331" s="8">
        <v>12.25</v>
      </c>
      <c r="C331" s="7">
        <f t="shared" si="5"/>
        <v>0.96763780332134175</v>
      </c>
    </row>
    <row r="332" spans="1:3" x14ac:dyDescent="0.3">
      <c r="A332" s="6" t="s">
        <v>228</v>
      </c>
      <c r="B332" s="8">
        <v>12.25</v>
      </c>
      <c r="C332" s="7">
        <f t="shared" si="5"/>
        <v>0.96763780332134175</v>
      </c>
    </row>
    <row r="333" spans="1:3" x14ac:dyDescent="0.3">
      <c r="A333" s="6" t="s">
        <v>229</v>
      </c>
      <c r="B333" s="8">
        <v>12.25</v>
      </c>
      <c r="C333" s="7">
        <f t="shared" si="5"/>
        <v>0.96763780332134175</v>
      </c>
    </row>
    <row r="334" spans="1:3" x14ac:dyDescent="0.3">
      <c r="A334" s="6" t="s">
        <v>230</v>
      </c>
      <c r="B334" s="8">
        <v>12.25</v>
      </c>
      <c r="C334" s="7">
        <f t="shared" si="5"/>
        <v>0.96763780332134175</v>
      </c>
    </row>
    <row r="335" spans="1:3" x14ac:dyDescent="0.3">
      <c r="A335" s="6" t="s">
        <v>231</v>
      </c>
      <c r="B335" s="8">
        <v>12.25</v>
      </c>
      <c r="C335" s="7">
        <f t="shared" si="5"/>
        <v>0.96763780332134175</v>
      </c>
    </row>
    <row r="336" spans="1:3" x14ac:dyDescent="0.3">
      <c r="A336" s="6" t="s">
        <v>1034</v>
      </c>
      <c r="B336" s="8">
        <v>12.25</v>
      </c>
      <c r="C336" s="7">
        <f t="shared" si="5"/>
        <v>0.96763780332134175</v>
      </c>
    </row>
    <row r="337" spans="1:3" x14ac:dyDescent="0.3">
      <c r="A337" s="6" t="s">
        <v>1035</v>
      </c>
      <c r="B337" s="8">
        <v>12.25</v>
      </c>
      <c r="C337" s="7">
        <f t="shared" si="5"/>
        <v>0.96763780332134175</v>
      </c>
    </row>
    <row r="338" spans="1:3" x14ac:dyDescent="0.3">
      <c r="A338" s="6" t="s">
        <v>232</v>
      </c>
      <c r="B338" s="8">
        <v>12.25</v>
      </c>
      <c r="C338" s="7">
        <f t="shared" si="5"/>
        <v>0.96763780332134175</v>
      </c>
    </row>
    <row r="339" spans="1:3" x14ac:dyDescent="0.3">
      <c r="A339" s="6" t="s">
        <v>233</v>
      </c>
      <c r="B339" s="8">
        <v>12.25</v>
      </c>
      <c r="C339" s="7">
        <f t="shared" si="5"/>
        <v>0.96763780332134175</v>
      </c>
    </row>
    <row r="340" spans="1:3" x14ac:dyDescent="0.3">
      <c r="A340" s="6" t="s">
        <v>234</v>
      </c>
      <c r="B340" s="8">
        <v>12.25</v>
      </c>
      <c r="C340" s="7">
        <f t="shared" si="5"/>
        <v>0.96763780332134175</v>
      </c>
    </row>
    <row r="341" spans="1:3" x14ac:dyDescent="0.3">
      <c r="A341" s="6" t="s">
        <v>235</v>
      </c>
      <c r="B341" s="8">
        <v>12.25</v>
      </c>
      <c r="C341" s="7">
        <f t="shared" si="5"/>
        <v>0.96763780332134175</v>
      </c>
    </row>
    <row r="342" spans="1:3" x14ac:dyDescent="0.3">
      <c r="A342" s="6" t="s">
        <v>236</v>
      </c>
      <c r="B342" s="8">
        <v>12.25</v>
      </c>
      <c r="C342" s="7">
        <f t="shared" si="5"/>
        <v>0.96763780332134175</v>
      </c>
    </row>
    <row r="343" spans="1:3" x14ac:dyDescent="0.3">
      <c r="A343" s="6" t="s">
        <v>1036</v>
      </c>
      <c r="B343" s="8">
        <v>12.25</v>
      </c>
      <c r="C343" s="7">
        <f t="shared" si="5"/>
        <v>0.96763780332134175</v>
      </c>
    </row>
    <row r="344" spans="1:3" x14ac:dyDescent="0.3">
      <c r="A344" s="6" t="s">
        <v>1037</v>
      </c>
      <c r="B344" s="8">
        <v>12.25</v>
      </c>
      <c r="C344" s="7">
        <f t="shared" si="5"/>
        <v>0.96763780332134175</v>
      </c>
    </row>
    <row r="345" spans="1:3" x14ac:dyDescent="0.3">
      <c r="A345" s="6" t="s">
        <v>237</v>
      </c>
      <c r="B345" s="8">
        <v>12.25</v>
      </c>
      <c r="C345" s="7">
        <f t="shared" si="5"/>
        <v>0.96763780332134175</v>
      </c>
    </row>
    <row r="346" spans="1:3" x14ac:dyDescent="0.3">
      <c r="A346" s="6" t="s">
        <v>238</v>
      </c>
      <c r="B346" s="8">
        <v>12.25</v>
      </c>
      <c r="C346" s="7">
        <f t="shared" si="5"/>
        <v>0.96763780332134175</v>
      </c>
    </row>
    <row r="347" spans="1:3" x14ac:dyDescent="0.3">
      <c r="A347" s="6" t="s">
        <v>239</v>
      </c>
      <c r="B347" s="8">
        <v>12.25</v>
      </c>
      <c r="C347" s="7">
        <f t="shared" si="5"/>
        <v>0.96763780332134175</v>
      </c>
    </row>
    <row r="348" spans="1:3" x14ac:dyDescent="0.3">
      <c r="A348" s="6" t="s">
        <v>240</v>
      </c>
      <c r="B348" s="8">
        <v>12.25</v>
      </c>
      <c r="C348" s="7">
        <f t="shared" si="5"/>
        <v>0.96763780332134175</v>
      </c>
    </row>
    <row r="349" spans="1:3" x14ac:dyDescent="0.3">
      <c r="A349" s="6" t="s">
        <v>241</v>
      </c>
      <c r="B349" s="8">
        <v>12.25</v>
      </c>
      <c r="C349" s="7">
        <f t="shared" si="5"/>
        <v>0.96763780332134175</v>
      </c>
    </row>
    <row r="350" spans="1:3" x14ac:dyDescent="0.3">
      <c r="A350" s="6" t="s">
        <v>1038</v>
      </c>
      <c r="B350" s="8">
        <v>12.25</v>
      </c>
      <c r="C350" s="7">
        <f t="shared" si="5"/>
        <v>0.96763780332134175</v>
      </c>
    </row>
    <row r="351" spans="1:3" x14ac:dyDescent="0.3">
      <c r="A351" s="6" t="s">
        <v>1039</v>
      </c>
      <c r="B351" s="8">
        <v>12.25</v>
      </c>
      <c r="C351" s="7">
        <f t="shared" si="5"/>
        <v>0.96763780332134175</v>
      </c>
    </row>
    <row r="352" spans="1:3" x14ac:dyDescent="0.3">
      <c r="A352" s="6" t="s">
        <v>242</v>
      </c>
      <c r="B352" s="8">
        <v>12.25</v>
      </c>
      <c r="C352" s="7">
        <f t="shared" si="5"/>
        <v>0.96763780332134175</v>
      </c>
    </row>
    <row r="353" spans="1:3" x14ac:dyDescent="0.3">
      <c r="A353" s="6" t="s">
        <v>243</v>
      </c>
      <c r="B353" s="8">
        <v>12.25</v>
      </c>
      <c r="C353" s="7">
        <f t="shared" si="5"/>
        <v>0.96763780332134175</v>
      </c>
    </row>
    <row r="354" spans="1:3" x14ac:dyDescent="0.3">
      <c r="A354" s="6" t="s">
        <v>244</v>
      </c>
      <c r="B354" s="8">
        <v>12.25</v>
      </c>
      <c r="C354" s="7">
        <f t="shared" si="5"/>
        <v>0.96763780332134175</v>
      </c>
    </row>
    <row r="355" spans="1:3" x14ac:dyDescent="0.3">
      <c r="A355" s="6" t="s">
        <v>245</v>
      </c>
      <c r="B355" s="8">
        <v>11.75</v>
      </c>
      <c r="C355" s="7">
        <f t="shared" si="5"/>
        <v>0.9300823618865417</v>
      </c>
    </row>
    <row r="356" spans="1:3" x14ac:dyDescent="0.3">
      <c r="A356" s="6" t="s">
        <v>246</v>
      </c>
      <c r="B356" s="8">
        <v>11.75</v>
      </c>
      <c r="C356" s="7">
        <f t="shared" si="5"/>
        <v>0.9300823618865417</v>
      </c>
    </row>
    <row r="357" spans="1:3" x14ac:dyDescent="0.3">
      <c r="A357" s="6" t="s">
        <v>1040</v>
      </c>
      <c r="B357" s="8">
        <v>11.75</v>
      </c>
      <c r="C357" s="7">
        <f t="shared" si="5"/>
        <v>0.9300823618865417</v>
      </c>
    </row>
    <row r="358" spans="1:3" x14ac:dyDescent="0.3">
      <c r="A358" s="6" t="s">
        <v>1041</v>
      </c>
      <c r="B358" s="8">
        <v>11.75</v>
      </c>
      <c r="C358" s="7">
        <f t="shared" si="5"/>
        <v>0.9300823618865417</v>
      </c>
    </row>
    <row r="359" spans="1:3" x14ac:dyDescent="0.3">
      <c r="A359" s="6" t="s">
        <v>247</v>
      </c>
      <c r="B359" s="8">
        <v>11.75</v>
      </c>
      <c r="C359" s="7">
        <f t="shared" si="5"/>
        <v>0.9300823618865417</v>
      </c>
    </row>
    <row r="360" spans="1:3" x14ac:dyDescent="0.3">
      <c r="A360" s="6" t="s">
        <v>248</v>
      </c>
      <c r="B360" s="8">
        <v>11.75</v>
      </c>
      <c r="C360" s="7">
        <f t="shared" si="5"/>
        <v>0.9300823618865417</v>
      </c>
    </row>
    <row r="361" spans="1:3" x14ac:dyDescent="0.3">
      <c r="A361" s="6" t="s">
        <v>249</v>
      </c>
      <c r="B361" s="8">
        <v>11.75</v>
      </c>
      <c r="C361" s="7">
        <f t="shared" si="5"/>
        <v>0.9300823618865417</v>
      </c>
    </row>
    <row r="362" spans="1:3" x14ac:dyDescent="0.3">
      <c r="A362" s="6" t="s">
        <v>250</v>
      </c>
      <c r="B362" s="8">
        <v>11.75</v>
      </c>
      <c r="C362" s="7">
        <f t="shared" si="5"/>
        <v>0.9300823618865417</v>
      </c>
    </row>
    <row r="363" spans="1:3" x14ac:dyDescent="0.3">
      <c r="A363" s="6" t="s">
        <v>251</v>
      </c>
      <c r="B363" s="8">
        <v>11.75</v>
      </c>
      <c r="C363" s="7">
        <f t="shared" si="5"/>
        <v>0.9300823618865417</v>
      </c>
    </row>
    <row r="364" spans="1:3" x14ac:dyDescent="0.3">
      <c r="A364" s="6" t="s">
        <v>1042</v>
      </c>
      <c r="B364" s="8">
        <v>11.75</v>
      </c>
      <c r="C364" s="7">
        <f t="shared" si="5"/>
        <v>0.9300823618865417</v>
      </c>
    </row>
    <row r="365" spans="1:3" x14ac:dyDescent="0.3">
      <c r="A365" s="6" t="s">
        <v>1043</v>
      </c>
      <c r="B365" s="8">
        <v>11.75</v>
      </c>
      <c r="C365" s="7">
        <f t="shared" si="5"/>
        <v>0.9300823618865417</v>
      </c>
    </row>
    <row r="366" spans="1:3" x14ac:dyDescent="0.3">
      <c r="A366" s="6" t="s">
        <v>1044</v>
      </c>
      <c r="B366" s="8">
        <v>11.75</v>
      </c>
      <c r="C366" s="7">
        <f t="shared" si="5"/>
        <v>0.9300823618865417</v>
      </c>
    </row>
    <row r="367" spans="1:3" x14ac:dyDescent="0.3">
      <c r="A367" s="6" t="s">
        <v>252</v>
      </c>
      <c r="B367" s="8">
        <v>11.75</v>
      </c>
      <c r="C367" s="7">
        <f t="shared" si="5"/>
        <v>0.9300823618865417</v>
      </c>
    </row>
    <row r="368" spans="1:3" x14ac:dyDescent="0.3">
      <c r="A368" s="6" t="s">
        <v>253</v>
      </c>
      <c r="B368" s="8">
        <v>11.75</v>
      </c>
      <c r="C368" s="7">
        <f t="shared" si="5"/>
        <v>0.9300823618865417</v>
      </c>
    </row>
    <row r="369" spans="1:3" x14ac:dyDescent="0.3">
      <c r="A369" s="6" t="s">
        <v>254</v>
      </c>
      <c r="B369" s="8">
        <v>11.75</v>
      </c>
      <c r="C369" s="7">
        <f t="shared" si="5"/>
        <v>0.9300823618865417</v>
      </c>
    </row>
    <row r="370" spans="1:3" x14ac:dyDescent="0.3">
      <c r="A370" s="6" t="s">
        <v>255</v>
      </c>
      <c r="B370" s="8">
        <v>11.75</v>
      </c>
      <c r="C370" s="7">
        <f t="shared" si="5"/>
        <v>0.9300823618865417</v>
      </c>
    </row>
    <row r="371" spans="1:3" x14ac:dyDescent="0.3">
      <c r="A371" s="6" t="s">
        <v>1045</v>
      </c>
      <c r="B371" s="8">
        <v>11.75</v>
      </c>
      <c r="C371" s="7">
        <f t="shared" si="5"/>
        <v>0.9300823618865417</v>
      </c>
    </row>
    <row r="372" spans="1:3" x14ac:dyDescent="0.3">
      <c r="A372" s="6" t="s">
        <v>1046</v>
      </c>
      <c r="B372" s="8">
        <v>11.75</v>
      </c>
      <c r="C372" s="7">
        <f t="shared" si="5"/>
        <v>0.9300823618865417</v>
      </c>
    </row>
    <row r="373" spans="1:3" x14ac:dyDescent="0.3">
      <c r="A373" s="6" t="s">
        <v>1047</v>
      </c>
      <c r="B373" s="8">
        <v>11.75</v>
      </c>
      <c r="C373" s="7">
        <f t="shared" si="5"/>
        <v>0.9300823618865417</v>
      </c>
    </row>
    <row r="374" spans="1:3" x14ac:dyDescent="0.3">
      <c r="A374" s="6" t="s">
        <v>256</v>
      </c>
      <c r="B374" s="8">
        <v>11.75</v>
      </c>
      <c r="C374" s="7">
        <f t="shared" si="5"/>
        <v>0.9300823618865417</v>
      </c>
    </row>
    <row r="375" spans="1:3" x14ac:dyDescent="0.3">
      <c r="A375" s="6" t="s">
        <v>257</v>
      </c>
      <c r="B375" s="8">
        <v>11.75</v>
      </c>
      <c r="C375" s="7">
        <f t="shared" si="5"/>
        <v>0.9300823618865417</v>
      </c>
    </row>
    <row r="376" spans="1:3" x14ac:dyDescent="0.3">
      <c r="A376" s="6" t="s">
        <v>258</v>
      </c>
      <c r="B376" s="8">
        <v>11.75</v>
      </c>
      <c r="C376" s="7">
        <f t="shared" si="5"/>
        <v>0.9300823618865417</v>
      </c>
    </row>
    <row r="377" spans="1:3" x14ac:dyDescent="0.3">
      <c r="A377" s="6" t="s">
        <v>259</v>
      </c>
      <c r="B377" s="8">
        <v>11.75</v>
      </c>
      <c r="C377" s="7">
        <f t="shared" si="5"/>
        <v>0.9300823618865417</v>
      </c>
    </row>
    <row r="378" spans="1:3" x14ac:dyDescent="0.3">
      <c r="A378" s="6" t="s">
        <v>1048</v>
      </c>
      <c r="B378" s="8">
        <v>11.75</v>
      </c>
      <c r="C378" s="7">
        <f t="shared" si="5"/>
        <v>0.9300823618865417</v>
      </c>
    </row>
    <row r="379" spans="1:3" x14ac:dyDescent="0.3">
      <c r="A379" s="6" t="s">
        <v>1049</v>
      </c>
      <c r="B379" s="8">
        <v>11.75</v>
      </c>
      <c r="C379" s="7">
        <f t="shared" si="5"/>
        <v>0.9300823618865417</v>
      </c>
    </row>
    <row r="380" spans="1:3" x14ac:dyDescent="0.3">
      <c r="A380" s="6" t="s">
        <v>260</v>
      </c>
      <c r="B380" s="8">
        <v>11.75</v>
      </c>
      <c r="C380" s="7">
        <f t="shared" si="5"/>
        <v>0.9300823618865417</v>
      </c>
    </row>
    <row r="381" spans="1:3" x14ac:dyDescent="0.3">
      <c r="A381" s="6" t="s">
        <v>261</v>
      </c>
      <c r="B381" s="8">
        <v>11.75</v>
      </c>
      <c r="C381" s="7">
        <f t="shared" si="5"/>
        <v>0.9300823618865417</v>
      </c>
    </row>
    <row r="382" spans="1:3" x14ac:dyDescent="0.3">
      <c r="A382" s="6" t="s">
        <v>262</v>
      </c>
      <c r="B382" s="8">
        <v>11.75</v>
      </c>
      <c r="C382" s="7">
        <f t="shared" si="5"/>
        <v>0.9300823618865417</v>
      </c>
    </row>
    <row r="383" spans="1:3" x14ac:dyDescent="0.3">
      <c r="A383" s="6" t="s">
        <v>263</v>
      </c>
      <c r="B383" s="8">
        <v>11.75</v>
      </c>
      <c r="C383" s="7">
        <f t="shared" si="5"/>
        <v>0.9300823618865417</v>
      </c>
    </row>
    <row r="384" spans="1:3" x14ac:dyDescent="0.3">
      <c r="A384" s="6" t="s">
        <v>264</v>
      </c>
      <c r="B384" s="8">
        <v>11.75</v>
      </c>
      <c r="C384" s="7">
        <f t="shared" si="5"/>
        <v>0.9300823618865417</v>
      </c>
    </row>
    <row r="385" spans="1:3" x14ac:dyDescent="0.3">
      <c r="A385" s="6" t="s">
        <v>1050</v>
      </c>
      <c r="B385" s="8">
        <v>11.75</v>
      </c>
      <c r="C385" s="7">
        <f t="shared" si="5"/>
        <v>0.9300823618865417</v>
      </c>
    </row>
    <row r="386" spans="1:3" x14ac:dyDescent="0.3">
      <c r="A386" s="6" t="s">
        <v>1051</v>
      </c>
      <c r="B386" s="8">
        <v>11.75</v>
      </c>
      <c r="C386" s="7">
        <f t="shared" si="5"/>
        <v>0.9300823618865417</v>
      </c>
    </row>
    <row r="387" spans="1:3" x14ac:dyDescent="0.3">
      <c r="A387" s="6" t="s">
        <v>265</v>
      </c>
      <c r="B387" s="8">
        <v>11.75</v>
      </c>
      <c r="C387" s="7">
        <f t="shared" si="5"/>
        <v>0.9300823618865417</v>
      </c>
    </row>
    <row r="388" spans="1:3" x14ac:dyDescent="0.3">
      <c r="A388" s="6" t="s">
        <v>266</v>
      </c>
      <c r="B388" s="8">
        <v>11.75</v>
      </c>
      <c r="C388" s="7">
        <f t="shared" si="5"/>
        <v>0.9300823618865417</v>
      </c>
    </row>
    <row r="389" spans="1:3" x14ac:dyDescent="0.3">
      <c r="A389" s="6" t="s">
        <v>267</v>
      </c>
      <c r="B389" s="8">
        <v>11.75</v>
      </c>
      <c r="C389" s="7">
        <f t="shared" si="5"/>
        <v>0.9300823618865417</v>
      </c>
    </row>
    <row r="390" spans="1:3" x14ac:dyDescent="0.3">
      <c r="A390" s="6" t="s">
        <v>268</v>
      </c>
      <c r="B390" s="8">
        <v>11.75</v>
      </c>
      <c r="C390" s="7">
        <f t="shared" si="5"/>
        <v>0.9300823618865417</v>
      </c>
    </row>
    <row r="391" spans="1:3" x14ac:dyDescent="0.3">
      <c r="A391" s="6" t="s">
        <v>269</v>
      </c>
      <c r="B391" s="8">
        <v>11.75</v>
      </c>
      <c r="C391" s="7">
        <f t="shared" si="5"/>
        <v>0.9300823618865417</v>
      </c>
    </row>
    <row r="392" spans="1:3" x14ac:dyDescent="0.3">
      <c r="A392" s="6" t="s">
        <v>1052</v>
      </c>
      <c r="B392" s="8">
        <v>11.75</v>
      </c>
      <c r="C392" s="7">
        <f t="shared" ref="C392:C455" si="6">((1+B392/100)^(1/12)-1)*100</f>
        <v>0.9300823618865417</v>
      </c>
    </row>
    <row r="393" spans="1:3" x14ac:dyDescent="0.3">
      <c r="A393" s="6" t="s">
        <v>1053</v>
      </c>
      <c r="B393" s="8">
        <v>11.75</v>
      </c>
      <c r="C393" s="7">
        <f t="shared" si="6"/>
        <v>0.9300823618865417</v>
      </c>
    </row>
    <row r="394" spans="1:3" x14ac:dyDescent="0.3">
      <c r="A394" s="6" t="s">
        <v>270</v>
      </c>
      <c r="B394" s="8">
        <v>11.75</v>
      </c>
      <c r="C394" s="7">
        <f t="shared" si="6"/>
        <v>0.9300823618865417</v>
      </c>
    </row>
    <row r="395" spans="1:3" x14ac:dyDescent="0.3">
      <c r="A395" s="6" t="s">
        <v>271</v>
      </c>
      <c r="B395" s="8">
        <v>11.75</v>
      </c>
      <c r="C395" s="7">
        <f t="shared" si="6"/>
        <v>0.9300823618865417</v>
      </c>
    </row>
    <row r="396" spans="1:3" x14ac:dyDescent="0.3">
      <c r="A396" s="6" t="s">
        <v>272</v>
      </c>
      <c r="B396" s="8">
        <v>11.75</v>
      </c>
      <c r="C396" s="7">
        <f t="shared" si="6"/>
        <v>0.9300823618865417</v>
      </c>
    </row>
    <row r="397" spans="1:3" x14ac:dyDescent="0.3">
      <c r="A397" s="6" t="s">
        <v>273</v>
      </c>
      <c r="B397" s="8">
        <v>11.75</v>
      </c>
      <c r="C397" s="7">
        <f t="shared" si="6"/>
        <v>0.9300823618865417</v>
      </c>
    </row>
    <row r="398" spans="1:3" x14ac:dyDescent="0.3">
      <c r="A398" s="6" t="s">
        <v>274</v>
      </c>
      <c r="B398" s="8">
        <v>11.75</v>
      </c>
      <c r="C398" s="7">
        <f t="shared" si="6"/>
        <v>0.9300823618865417</v>
      </c>
    </row>
    <row r="399" spans="1:3" x14ac:dyDescent="0.3">
      <c r="A399" s="6" t="s">
        <v>1054</v>
      </c>
      <c r="B399" s="8">
        <v>11.75</v>
      </c>
      <c r="C399" s="7">
        <f t="shared" si="6"/>
        <v>0.9300823618865417</v>
      </c>
    </row>
    <row r="400" spans="1:3" x14ac:dyDescent="0.3">
      <c r="A400" s="6" t="s">
        <v>1055</v>
      </c>
      <c r="B400" s="8">
        <v>11.75</v>
      </c>
      <c r="C400" s="7">
        <f t="shared" si="6"/>
        <v>0.9300823618865417</v>
      </c>
    </row>
    <row r="401" spans="1:3" x14ac:dyDescent="0.3">
      <c r="A401" s="6" t="s">
        <v>275</v>
      </c>
      <c r="B401" s="8">
        <v>11.75</v>
      </c>
      <c r="C401" s="7">
        <f t="shared" si="6"/>
        <v>0.9300823618865417</v>
      </c>
    </row>
    <row r="402" spans="1:3" x14ac:dyDescent="0.3">
      <c r="A402" s="6" t="s">
        <v>276</v>
      </c>
      <c r="B402" s="8">
        <v>11.75</v>
      </c>
      <c r="C402" s="7">
        <f t="shared" si="6"/>
        <v>0.9300823618865417</v>
      </c>
    </row>
    <row r="403" spans="1:3" x14ac:dyDescent="0.3">
      <c r="A403" s="6" t="s">
        <v>277</v>
      </c>
      <c r="B403" s="8">
        <v>11.75</v>
      </c>
      <c r="C403" s="7">
        <f t="shared" si="6"/>
        <v>0.9300823618865417</v>
      </c>
    </row>
    <row r="404" spans="1:3" x14ac:dyDescent="0.3">
      <c r="A404" s="6" t="s">
        <v>278</v>
      </c>
      <c r="B404" s="8">
        <v>11.25</v>
      </c>
      <c r="C404" s="7">
        <f t="shared" si="6"/>
        <v>0.89237257287477778</v>
      </c>
    </row>
    <row r="405" spans="1:3" x14ac:dyDescent="0.3">
      <c r="A405" s="6" t="s">
        <v>279</v>
      </c>
      <c r="B405" s="8">
        <v>11.25</v>
      </c>
      <c r="C405" s="7">
        <f t="shared" si="6"/>
        <v>0.89237257287477778</v>
      </c>
    </row>
    <row r="406" spans="1:3" x14ac:dyDescent="0.3">
      <c r="A406" s="6" t="s">
        <v>1056</v>
      </c>
      <c r="B406" s="8">
        <v>11.25</v>
      </c>
      <c r="C406" s="7">
        <f t="shared" si="6"/>
        <v>0.89237257287477778</v>
      </c>
    </row>
    <row r="407" spans="1:3" x14ac:dyDescent="0.3">
      <c r="A407" s="6" t="s">
        <v>1057</v>
      </c>
      <c r="B407" s="8">
        <v>11.25</v>
      </c>
      <c r="C407" s="7">
        <f t="shared" si="6"/>
        <v>0.89237257287477778</v>
      </c>
    </row>
    <row r="408" spans="1:3" x14ac:dyDescent="0.3">
      <c r="A408" s="6" t="s">
        <v>280</v>
      </c>
      <c r="B408" s="8">
        <v>11.25</v>
      </c>
      <c r="C408" s="7">
        <f t="shared" si="6"/>
        <v>0.89237257287477778</v>
      </c>
    </row>
    <row r="409" spans="1:3" x14ac:dyDescent="0.3">
      <c r="A409" s="6" t="s">
        <v>281</v>
      </c>
      <c r="B409" s="8">
        <v>11.25</v>
      </c>
      <c r="C409" s="7">
        <f t="shared" si="6"/>
        <v>0.89237257287477778</v>
      </c>
    </row>
    <row r="410" spans="1:3" x14ac:dyDescent="0.3">
      <c r="A410" s="6" t="s">
        <v>282</v>
      </c>
      <c r="B410" s="8">
        <v>11.25</v>
      </c>
      <c r="C410" s="7">
        <f t="shared" si="6"/>
        <v>0.89237257287477778</v>
      </c>
    </row>
    <row r="411" spans="1:3" x14ac:dyDescent="0.3">
      <c r="A411" s="6" t="s">
        <v>283</v>
      </c>
      <c r="B411" s="8">
        <v>11.25</v>
      </c>
      <c r="C411" s="7">
        <f t="shared" si="6"/>
        <v>0.89237257287477778</v>
      </c>
    </row>
    <row r="412" spans="1:3" x14ac:dyDescent="0.3">
      <c r="A412" s="6" t="s">
        <v>284</v>
      </c>
      <c r="B412" s="8">
        <v>11.25</v>
      </c>
      <c r="C412" s="7">
        <f t="shared" si="6"/>
        <v>0.89237257287477778</v>
      </c>
    </row>
    <row r="413" spans="1:3" x14ac:dyDescent="0.3">
      <c r="A413" s="6" t="s">
        <v>1058</v>
      </c>
      <c r="B413" s="8">
        <v>11.25</v>
      </c>
      <c r="C413" s="7">
        <f t="shared" si="6"/>
        <v>0.89237257287477778</v>
      </c>
    </row>
    <row r="414" spans="1:3" x14ac:dyDescent="0.3">
      <c r="A414" s="6" t="s">
        <v>1059</v>
      </c>
      <c r="B414" s="8">
        <v>11.25</v>
      </c>
      <c r="C414" s="7">
        <f t="shared" si="6"/>
        <v>0.89237257287477778</v>
      </c>
    </row>
    <row r="415" spans="1:3" x14ac:dyDescent="0.3">
      <c r="A415" s="6" t="s">
        <v>1060</v>
      </c>
      <c r="B415" s="8">
        <v>11.25</v>
      </c>
      <c r="C415" s="7">
        <f t="shared" si="6"/>
        <v>0.89237257287477778</v>
      </c>
    </row>
    <row r="416" spans="1:3" x14ac:dyDescent="0.3">
      <c r="A416" s="6" t="s">
        <v>1061</v>
      </c>
      <c r="B416" s="8">
        <v>11.25</v>
      </c>
      <c r="C416" s="7">
        <f t="shared" si="6"/>
        <v>0.89237257287477778</v>
      </c>
    </row>
    <row r="417" spans="1:3" x14ac:dyDescent="0.3">
      <c r="A417" s="6" t="s">
        <v>285</v>
      </c>
      <c r="B417" s="8">
        <v>11.25</v>
      </c>
      <c r="C417" s="7">
        <f t="shared" si="6"/>
        <v>0.89237257287477778</v>
      </c>
    </row>
    <row r="418" spans="1:3" x14ac:dyDescent="0.3">
      <c r="A418" s="6" t="s">
        <v>286</v>
      </c>
      <c r="B418" s="8">
        <v>11.25</v>
      </c>
      <c r="C418" s="7">
        <f t="shared" si="6"/>
        <v>0.89237257287477778</v>
      </c>
    </row>
    <row r="419" spans="1:3" x14ac:dyDescent="0.3">
      <c r="A419" s="6" t="s">
        <v>287</v>
      </c>
      <c r="B419" s="8">
        <v>11.25</v>
      </c>
      <c r="C419" s="7">
        <f t="shared" si="6"/>
        <v>0.89237257287477778</v>
      </c>
    </row>
    <row r="420" spans="1:3" x14ac:dyDescent="0.3">
      <c r="A420" s="6" t="s">
        <v>1062</v>
      </c>
      <c r="B420" s="8">
        <v>11.25</v>
      </c>
      <c r="C420" s="7">
        <f t="shared" si="6"/>
        <v>0.89237257287477778</v>
      </c>
    </row>
    <row r="421" spans="1:3" x14ac:dyDescent="0.3">
      <c r="A421" s="6" t="s">
        <v>1063</v>
      </c>
      <c r="B421" s="8">
        <v>11.25</v>
      </c>
      <c r="C421" s="7">
        <f t="shared" si="6"/>
        <v>0.89237257287477778</v>
      </c>
    </row>
    <row r="422" spans="1:3" x14ac:dyDescent="0.3">
      <c r="A422" s="6" t="s">
        <v>288</v>
      </c>
      <c r="B422" s="8">
        <v>11.25</v>
      </c>
      <c r="C422" s="7">
        <f t="shared" si="6"/>
        <v>0.89237257287477778</v>
      </c>
    </row>
    <row r="423" spans="1:3" x14ac:dyDescent="0.3">
      <c r="A423" s="6" t="s">
        <v>289</v>
      </c>
      <c r="B423" s="8">
        <v>11.25</v>
      </c>
      <c r="C423" s="7">
        <f t="shared" si="6"/>
        <v>0.89237257287477778</v>
      </c>
    </row>
    <row r="424" spans="1:3" x14ac:dyDescent="0.3">
      <c r="A424" s="6" t="s">
        <v>290</v>
      </c>
      <c r="B424" s="8">
        <v>11.25</v>
      </c>
      <c r="C424" s="7">
        <f t="shared" si="6"/>
        <v>0.89237257287477778</v>
      </c>
    </row>
    <row r="425" spans="1:3" x14ac:dyDescent="0.3">
      <c r="A425" s="6" t="s">
        <v>291</v>
      </c>
      <c r="B425" s="8">
        <v>11.25</v>
      </c>
      <c r="C425" s="7">
        <f t="shared" si="6"/>
        <v>0.89237257287477778</v>
      </c>
    </row>
    <row r="426" spans="1:3" x14ac:dyDescent="0.3">
      <c r="A426" s="6" t="s">
        <v>292</v>
      </c>
      <c r="B426" s="8">
        <v>11.25</v>
      </c>
      <c r="C426" s="7">
        <f t="shared" si="6"/>
        <v>0.89237257287477778</v>
      </c>
    </row>
    <row r="427" spans="1:3" x14ac:dyDescent="0.3">
      <c r="A427" s="6" t="s">
        <v>1064</v>
      </c>
      <c r="B427" s="8">
        <v>11.25</v>
      </c>
      <c r="C427" s="7">
        <f t="shared" si="6"/>
        <v>0.89237257287477778</v>
      </c>
    </row>
    <row r="428" spans="1:3" x14ac:dyDescent="0.3">
      <c r="A428" s="6" t="s">
        <v>1065</v>
      </c>
      <c r="B428" s="8">
        <v>11.25</v>
      </c>
      <c r="C428" s="7">
        <f t="shared" si="6"/>
        <v>0.89237257287477778</v>
      </c>
    </row>
    <row r="429" spans="1:3" x14ac:dyDescent="0.3">
      <c r="A429" s="6" t="s">
        <v>293</v>
      </c>
      <c r="B429" s="8">
        <v>11.25</v>
      </c>
      <c r="C429" s="7">
        <f t="shared" si="6"/>
        <v>0.89237257287477778</v>
      </c>
    </row>
    <row r="430" spans="1:3" x14ac:dyDescent="0.3">
      <c r="A430" s="6" t="s">
        <v>294</v>
      </c>
      <c r="B430" s="8">
        <v>11.25</v>
      </c>
      <c r="C430" s="7">
        <f t="shared" si="6"/>
        <v>0.89237257287477778</v>
      </c>
    </row>
    <row r="431" spans="1:3" x14ac:dyDescent="0.3">
      <c r="A431" s="6" t="s">
        <v>295</v>
      </c>
      <c r="B431" s="8">
        <v>11.25</v>
      </c>
      <c r="C431" s="7">
        <f t="shared" si="6"/>
        <v>0.89237257287477778</v>
      </c>
    </row>
    <row r="432" spans="1:3" x14ac:dyDescent="0.3">
      <c r="A432" s="6" t="s">
        <v>296</v>
      </c>
      <c r="B432" s="8">
        <v>11.25</v>
      </c>
      <c r="C432" s="7">
        <f t="shared" si="6"/>
        <v>0.89237257287477778</v>
      </c>
    </row>
    <row r="433" spans="1:3" x14ac:dyDescent="0.3">
      <c r="A433" s="6" t="s">
        <v>297</v>
      </c>
      <c r="B433" s="8">
        <v>11.25</v>
      </c>
      <c r="C433" s="7">
        <f t="shared" si="6"/>
        <v>0.89237257287477778</v>
      </c>
    </row>
    <row r="434" spans="1:3" x14ac:dyDescent="0.3">
      <c r="A434" s="6" t="s">
        <v>1066</v>
      </c>
      <c r="B434" s="8">
        <v>11.25</v>
      </c>
      <c r="C434" s="7">
        <f t="shared" si="6"/>
        <v>0.89237257287477778</v>
      </c>
    </row>
    <row r="435" spans="1:3" x14ac:dyDescent="0.3">
      <c r="A435" s="6" t="s">
        <v>1067</v>
      </c>
      <c r="B435" s="8">
        <v>11.25</v>
      </c>
      <c r="C435" s="7">
        <f t="shared" si="6"/>
        <v>0.89237257287477778</v>
      </c>
    </row>
    <row r="436" spans="1:3" x14ac:dyDescent="0.3">
      <c r="A436" s="6" t="s">
        <v>298</v>
      </c>
      <c r="B436" s="8">
        <v>11.25</v>
      </c>
      <c r="C436" s="7">
        <f t="shared" si="6"/>
        <v>0.89237257287477778</v>
      </c>
    </row>
    <row r="437" spans="1:3" x14ac:dyDescent="0.3">
      <c r="A437" s="6" t="s">
        <v>299</v>
      </c>
      <c r="B437" s="8">
        <v>11.25</v>
      </c>
      <c r="C437" s="7">
        <f t="shared" si="6"/>
        <v>0.89237257287477778</v>
      </c>
    </row>
    <row r="438" spans="1:3" x14ac:dyDescent="0.3">
      <c r="A438" s="6" t="s">
        <v>300</v>
      </c>
      <c r="B438" s="8">
        <v>11.25</v>
      </c>
      <c r="C438" s="7">
        <f t="shared" si="6"/>
        <v>0.89237257287477778</v>
      </c>
    </row>
    <row r="439" spans="1:3" x14ac:dyDescent="0.3">
      <c r="A439" s="6" t="s">
        <v>301</v>
      </c>
      <c r="B439" s="8">
        <v>11.25</v>
      </c>
      <c r="C439" s="7">
        <f t="shared" si="6"/>
        <v>0.89237257287477778</v>
      </c>
    </row>
    <row r="440" spans="1:3" x14ac:dyDescent="0.3">
      <c r="A440" s="6" t="s">
        <v>302</v>
      </c>
      <c r="B440" s="8">
        <v>11.25</v>
      </c>
      <c r="C440" s="7">
        <f t="shared" si="6"/>
        <v>0.89237257287477778</v>
      </c>
    </row>
    <row r="441" spans="1:3" x14ac:dyDescent="0.3">
      <c r="A441" s="6" t="s">
        <v>1068</v>
      </c>
      <c r="B441" s="8">
        <v>11.25</v>
      </c>
      <c r="C441" s="7">
        <f t="shared" si="6"/>
        <v>0.89237257287477778</v>
      </c>
    </row>
    <row r="442" spans="1:3" x14ac:dyDescent="0.3">
      <c r="A442" s="6" t="s">
        <v>1069</v>
      </c>
      <c r="B442" s="8">
        <v>11.25</v>
      </c>
      <c r="C442" s="7">
        <f t="shared" si="6"/>
        <v>0.89237257287477778</v>
      </c>
    </row>
    <row r="443" spans="1:3" x14ac:dyDescent="0.3">
      <c r="A443" s="6" t="s">
        <v>303</v>
      </c>
      <c r="B443" s="8">
        <v>11.25</v>
      </c>
      <c r="C443" s="7">
        <f t="shared" si="6"/>
        <v>0.89237257287477778</v>
      </c>
    </row>
    <row r="444" spans="1:3" x14ac:dyDescent="0.3">
      <c r="A444" s="6" t="s">
        <v>304</v>
      </c>
      <c r="B444" s="8">
        <v>11.25</v>
      </c>
      <c r="C444" s="7">
        <f t="shared" si="6"/>
        <v>0.89237257287477778</v>
      </c>
    </row>
    <row r="445" spans="1:3" x14ac:dyDescent="0.3">
      <c r="A445" s="6" t="s">
        <v>305</v>
      </c>
      <c r="B445" s="8">
        <v>11.25</v>
      </c>
      <c r="C445" s="7">
        <f t="shared" si="6"/>
        <v>0.89237257287477778</v>
      </c>
    </row>
    <row r="446" spans="1:3" x14ac:dyDescent="0.3">
      <c r="A446" s="6" t="s">
        <v>306</v>
      </c>
      <c r="B446" s="8">
        <v>11.25</v>
      </c>
      <c r="C446" s="7">
        <f t="shared" si="6"/>
        <v>0.89237257287477778</v>
      </c>
    </row>
    <row r="447" spans="1:3" x14ac:dyDescent="0.3">
      <c r="A447" s="6" t="s">
        <v>307</v>
      </c>
      <c r="B447" s="8">
        <v>11.25</v>
      </c>
      <c r="C447" s="7">
        <f t="shared" si="6"/>
        <v>0.89237257287477778</v>
      </c>
    </row>
    <row r="448" spans="1:3" x14ac:dyDescent="0.3">
      <c r="A448" s="6" t="s">
        <v>1070</v>
      </c>
      <c r="B448" s="8">
        <v>11.25</v>
      </c>
      <c r="C448" s="7">
        <f t="shared" si="6"/>
        <v>0.89237257287477778</v>
      </c>
    </row>
    <row r="449" spans="1:3" x14ac:dyDescent="0.3">
      <c r="A449" s="6" t="s">
        <v>1071</v>
      </c>
      <c r="B449" s="8">
        <v>11.25</v>
      </c>
      <c r="C449" s="7">
        <f t="shared" si="6"/>
        <v>0.89237257287477778</v>
      </c>
    </row>
    <row r="450" spans="1:3" x14ac:dyDescent="0.3">
      <c r="A450" s="6" t="s">
        <v>308</v>
      </c>
      <c r="B450" s="8">
        <v>11.25</v>
      </c>
      <c r="C450" s="7">
        <f t="shared" si="6"/>
        <v>0.89237257287477778</v>
      </c>
    </row>
    <row r="451" spans="1:3" x14ac:dyDescent="0.3">
      <c r="A451" s="6" t="s">
        <v>309</v>
      </c>
      <c r="B451" s="8">
        <v>11.25</v>
      </c>
      <c r="C451" s="7">
        <f t="shared" si="6"/>
        <v>0.89237257287477778</v>
      </c>
    </row>
    <row r="452" spans="1:3" x14ac:dyDescent="0.3">
      <c r="A452" s="6" t="s">
        <v>310</v>
      </c>
      <c r="B452" s="8">
        <v>11.25</v>
      </c>
      <c r="C452" s="7">
        <f t="shared" si="6"/>
        <v>0.89237257287477778</v>
      </c>
    </row>
    <row r="453" spans="1:3" x14ac:dyDescent="0.3">
      <c r="A453" s="6" t="s">
        <v>311</v>
      </c>
      <c r="B453" s="8">
        <v>10.75</v>
      </c>
      <c r="C453" s="7">
        <f t="shared" si="6"/>
        <v>0.85450710394860963</v>
      </c>
    </row>
    <row r="454" spans="1:3" x14ac:dyDescent="0.3">
      <c r="A454" s="6" t="s">
        <v>312</v>
      </c>
      <c r="B454" s="8">
        <v>10.75</v>
      </c>
      <c r="C454" s="7">
        <f t="shared" si="6"/>
        <v>0.85450710394860963</v>
      </c>
    </row>
    <row r="455" spans="1:3" x14ac:dyDescent="0.3">
      <c r="A455" s="6" t="s">
        <v>1072</v>
      </c>
      <c r="B455" s="8">
        <v>10.75</v>
      </c>
      <c r="C455" s="7">
        <f t="shared" si="6"/>
        <v>0.85450710394860963</v>
      </c>
    </row>
    <row r="456" spans="1:3" x14ac:dyDescent="0.3">
      <c r="A456" s="6" t="s">
        <v>1073</v>
      </c>
      <c r="B456" s="8">
        <v>10.75</v>
      </c>
      <c r="C456" s="7">
        <f t="shared" ref="C456:C519" si="7">((1+B456/100)^(1/12)-1)*100</f>
        <v>0.85450710394860963</v>
      </c>
    </row>
    <row r="457" spans="1:3" x14ac:dyDescent="0.3">
      <c r="A457" s="6" t="s">
        <v>313</v>
      </c>
      <c r="B457" s="8">
        <v>10.75</v>
      </c>
      <c r="C457" s="7">
        <f t="shared" si="7"/>
        <v>0.85450710394860963</v>
      </c>
    </row>
    <row r="458" spans="1:3" x14ac:dyDescent="0.3">
      <c r="A458" s="6" t="s">
        <v>314</v>
      </c>
      <c r="B458" s="8">
        <v>10.75</v>
      </c>
      <c r="C458" s="7">
        <f t="shared" si="7"/>
        <v>0.85450710394860963</v>
      </c>
    </row>
    <row r="459" spans="1:3" x14ac:dyDescent="0.3">
      <c r="A459" s="6" t="s">
        <v>315</v>
      </c>
      <c r="B459" s="8">
        <v>10.75</v>
      </c>
      <c r="C459" s="7">
        <f t="shared" si="7"/>
        <v>0.85450710394860963</v>
      </c>
    </row>
    <row r="460" spans="1:3" x14ac:dyDescent="0.3">
      <c r="A460" s="6" t="s">
        <v>316</v>
      </c>
      <c r="B460" s="8">
        <v>10.75</v>
      </c>
      <c r="C460" s="7">
        <f t="shared" si="7"/>
        <v>0.85450710394860963</v>
      </c>
    </row>
    <row r="461" spans="1:3" x14ac:dyDescent="0.3">
      <c r="A461" s="6" t="s">
        <v>1074</v>
      </c>
      <c r="B461" s="8">
        <v>10.75</v>
      </c>
      <c r="C461" s="7">
        <f t="shared" si="7"/>
        <v>0.85450710394860963</v>
      </c>
    </row>
    <row r="462" spans="1:3" x14ac:dyDescent="0.3">
      <c r="A462" s="6" t="s">
        <v>1075</v>
      </c>
      <c r="B462" s="8">
        <v>10.75</v>
      </c>
      <c r="C462" s="7">
        <f t="shared" si="7"/>
        <v>0.85450710394860963</v>
      </c>
    </row>
    <row r="463" spans="1:3" x14ac:dyDescent="0.3">
      <c r="A463" s="6" t="s">
        <v>1076</v>
      </c>
      <c r="B463" s="8">
        <v>10.75</v>
      </c>
      <c r="C463" s="7">
        <f t="shared" si="7"/>
        <v>0.85450710394860963</v>
      </c>
    </row>
    <row r="464" spans="1:3" x14ac:dyDescent="0.3">
      <c r="A464" s="6" t="s">
        <v>317</v>
      </c>
      <c r="B464" s="8">
        <v>10.75</v>
      </c>
      <c r="C464" s="7">
        <f t="shared" si="7"/>
        <v>0.85450710394860963</v>
      </c>
    </row>
    <row r="465" spans="1:3" x14ac:dyDescent="0.3">
      <c r="A465" s="6" t="s">
        <v>318</v>
      </c>
      <c r="B465" s="8">
        <v>10.75</v>
      </c>
      <c r="C465" s="7">
        <f t="shared" si="7"/>
        <v>0.85450710394860963</v>
      </c>
    </row>
    <row r="466" spans="1:3" x14ac:dyDescent="0.3">
      <c r="A466" s="6" t="s">
        <v>319</v>
      </c>
      <c r="B466" s="8">
        <v>10.75</v>
      </c>
      <c r="C466" s="7">
        <f t="shared" si="7"/>
        <v>0.85450710394860963</v>
      </c>
    </row>
    <row r="467" spans="1:3" x14ac:dyDescent="0.3">
      <c r="A467" s="6" t="s">
        <v>320</v>
      </c>
      <c r="B467" s="8">
        <v>10.75</v>
      </c>
      <c r="C467" s="7">
        <f t="shared" si="7"/>
        <v>0.85450710394860963</v>
      </c>
    </row>
    <row r="468" spans="1:3" x14ac:dyDescent="0.3">
      <c r="A468" s="6" t="s">
        <v>321</v>
      </c>
      <c r="B468" s="8">
        <v>10.75</v>
      </c>
      <c r="C468" s="7">
        <f t="shared" si="7"/>
        <v>0.85450710394860963</v>
      </c>
    </row>
    <row r="469" spans="1:3" x14ac:dyDescent="0.3">
      <c r="A469" s="6" t="s">
        <v>1077</v>
      </c>
      <c r="B469" s="8">
        <v>10.75</v>
      </c>
      <c r="C469" s="7">
        <f t="shared" si="7"/>
        <v>0.85450710394860963</v>
      </c>
    </row>
    <row r="470" spans="1:3" x14ac:dyDescent="0.3">
      <c r="A470" s="6" t="s">
        <v>1078</v>
      </c>
      <c r="B470" s="8">
        <v>10.75</v>
      </c>
      <c r="C470" s="7">
        <f t="shared" si="7"/>
        <v>0.85450710394860963</v>
      </c>
    </row>
    <row r="471" spans="1:3" x14ac:dyDescent="0.3">
      <c r="A471" s="6" t="s">
        <v>322</v>
      </c>
      <c r="B471" s="8">
        <v>10.75</v>
      </c>
      <c r="C471" s="7">
        <f t="shared" si="7"/>
        <v>0.85450710394860963</v>
      </c>
    </row>
    <row r="472" spans="1:3" x14ac:dyDescent="0.3">
      <c r="A472" s="6" t="s">
        <v>323</v>
      </c>
      <c r="B472" s="8">
        <v>10.75</v>
      </c>
      <c r="C472" s="7">
        <f t="shared" si="7"/>
        <v>0.85450710394860963</v>
      </c>
    </row>
    <row r="473" spans="1:3" x14ac:dyDescent="0.3">
      <c r="A473" s="6" t="s">
        <v>324</v>
      </c>
      <c r="B473" s="8">
        <v>10.75</v>
      </c>
      <c r="C473" s="7">
        <f t="shared" si="7"/>
        <v>0.85450710394860963</v>
      </c>
    </row>
    <row r="474" spans="1:3" x14ac:dyDescent="0.3">
      <c r="A474" s="6" t="s">
        <v>325</v>
      </c>
      <c r="B474" s="8">
        <v>10.75</v>
      </c>
      <c r="C474" s="7">
        <f t="shared" si="7"/>
        <v>0.85450710394860963</v>
      </c>
    </row>
    <row r="475" spans="1:3" x14ac:dyDescent="0.3">
      <c r="A475" s="6" t="s">
        <v>326</v>
      </c>
      <c r="B475" s="8">
        <v>10.75</v>
      </c>
      <c r="C475" s="7">
        <f t="shared" si="7"/>
        <v>0.85450710394860963</v>
      </c>
    </row>
    <row r="476" spans="1:3" x14ac:dyDescent="0.3">
      <c r="A476" s="6" t="s">
        <v>1079</v>
      </c>
      <c r="B476" s="8">
        <v>10.75</v>
      </c>
      <c r="C476" s="7">
        <f t="shared" si="7"/>
        <v>0.85450710394860963</v>
      </c>
    </row>
    <row r="477" spans="1:3" x14ac:dyDescent="0.3">
      <c r="A477" s="6" t="s">
        <v>1080</v>
      </c>
      <c r="B477" s="8">
        <v>10.75</v>
      </c>
      <c r="C477" s="7">
        <f t="shared" si="7"/>
        <v>0.85450710394860963</v>
      </c>
    </row>
    <row r="478" spans="1:3" x14ac:dyDescent="0.3">
      <c r="A478" s="6" t="s">
        <v>327</v>
      </c>
      <c r="B478" s="8">
        <v>10.75</v>
      </c>
      <c r="C478" s="7">
        <f t="shared" si="7"/>
        <v>0.85450710394860963</v>
      </c>
    </row>
    <row r="479" spans="1:3" x14ac:dyDescent="0.3">
      <c r="A479" s="6" t="s">
        <v>328</v>
      </c>
      <c r="B479" s="8">
        <v>10.75</v>
      </c>
      <c r="C479" s="7">
        <f t="shared" si="7"/>
        <v>0.85450710394860963</v>
      </c>
    </row>
    <row r="480" spans="1:3" x14ac:dyDescent="0.3">
      <c r="A480" s="6" t="s">
        <v>329</v>
      </c>
      <c r="B480" s="8">
        <v>10.75</v>
      </c>
      <c r="C480" s="7">
        <f t="shared" si="7"/>
        <v>0.85450710394860963</v>
      </c>
    </row>
    <row r="481" spans="1:3" x14ac:dyDescent="0.3">
      <c r="A481" s="6" t="s">
        <v>330</v>
      </c>
      <c r="B481" s="8">
        <v>10.75</v>
      </c>
      <c r="C481" s="7">
        <f t="shared" si="7"/>
        <v>0.85450710394860963</v>
      </c>
    </row>
    <row r="482" spans="1:3" x14ac:dyDescent="0.3">
      <c r="A482" s="6" t="s">
        <v>331</v>
      </c>
      <c r="B482" s="8">
        <v>10.75</v>
      </c>
      <c r="C482" s="7">
        <f t="shared" si="7"/>
        <v>0.85450710394860963</v>
      </c>
    </row>
    <row r="483" spans="1:3" x14ac:dyDescent="0.3">
      <c r="A483" s="6" t="s">
        <v>1081</v>
      </c>
      <c r="B483" s="8">
        <v>10.75</v>
      </c>
      <c r="C483" s="7">
        <f t="shared" si="7"/>
        <v>0.85450710394860963</v>
      </c>
    </row>
    <row r="484" spans="1:3" x14ac:dyDescent="0.3">
      <c r="A484" s="6" t="s">
        <v>1082</v>
      </c>
      <c r="B484" s="8">
        <v>10.75</v>
      </c>
      <c r="C484" s="7">
        <f t="shared" si="7"/>
        <v>0.85450710394860963</v>
      </c>
    </row>
    <row r="485" spans="1:3" x14ac:dyDescent="0.3">
      <c r="A485" s="6" t="s">
        <v>332</v>
      </c>
      <c r="B485" s="8">
        <v>10.75</v>
      </c>
      <c r="C485" s="7">
        <f t="shared" si="7"/>
        <v>0.85450710394860963</v>
      </c>
    </row>
    <row r="486" spans="1:3" x14ac:dyDescent="0.3">
      <c r="A486" s="6" t="s">
        <v>333</v>
      </c>
      <c r="B486" s="8">
        <v>10.75</v>
      </c>
      <c r="C486" s="7">
        <f t="shared" si="7"/>
        <v>0.85450710394860963</v>
      </c>
    </row>
    <row r="487" spans="1:3" x14ac:dyDescent="0.3">
      <c r="A487" s="6" t="s">
        <v>334</v>
      </c>
      <c r="B487" s="8">
        <v>10.75</v>
      </c>
      <c r="C487" s="7">
        <f t="shared" si="7"/>
        <v>0.85450710394860963</v>
      </c>
    </row>
    <row r="488" spans="1:3" x14ac:dyDescent="0.3">
      <c r="A488" s="6" t="s">
        <v>335</v>
      </c>
      <c r="B488" s="8">
        <v>10.75</v>
      </c>
      <c r="C488" s="7">
        <f t="shared" si="7"/>
        <v>0.85450710394860963</v>
      </c>
    </row>
    <row r="489" spans="1:3" x14ac:dyDescent="0.3">
      <c r="A489" s="6" t="s">
        <v>336</v>
      </c>
      <c r="B489" s="8">
        <v>10.75</v>
      </c>
      <c r="C489" s="7">
        <f t="shared" si="7"/>
        <v>0.85450710394860963</v>
      </c>
    </row>
    <row r="490" spans="1:3" x14ac:dyDescent="0.3">
      <c r="A490" s="6" t="s">
        <v>1083</v>
      </c>
      <c r="B490" s="8">
        <v>10.75</v>
      </c>
      <c r="C490" s="7">
        <f t="shared" si="7"/>
        <v>0.85450710394860963</v>
      </c>
    </row>
    <row r="491" spans="1:3" x14ac:dyDescent="0.3">
      <c r="A491" s="6" t="s">
        <v>1084</v>
      </c>
      <c r="B491" s="8">
        <v>10.75</v>
      </c>
      <c r="C491" s="7">
        <f t="shared" si="7"/>
        <v>0.85450710394860963</v>
      </c>
    </row>
    <row r="492" spans="1:3" x14ac:dyDescent="0.3">
      <c r="A492" s="6" t="s">
        <v>337</v>
      </c>
      <c r="B492" s="8">
        <v>10.75</v>
      </c>
      <c r="C492" s="7">
        <f t="shared" si="7"/>
        <v>0.85450710394860963</v>
      </c>
    </row>
    <row r="493" spans="1:3" x14ac:dyDescent="0.3">
      <c r="A493" s="6" t="s">
        <v>338</v>
      </c>
      <c r="B493" s="8">
        <v>10.75</v>
      </c>
      <c r="C493" s="7">
        <f t="shared" si="7"/>
        <v>0.85450710394860963</v>
      </c>
    </row>
    <row r="494" spans="1:3" x14ac:dyDescent="0.3">
      <c r="A494" s="6" t="s">
        <v>1085</v>
      </c>
      <c r="B494" s="8">
        <v>10.75</v>
      </c>
      <c r="C494" s="7">
        <f t="shared" si="7"/>
        <v>0.85450710394860963</v>
      </c>
    </row>
    <row r="495" spans="1:3" x14ac:dyDescent="0.3">
      <c r="A495" s="6" t="s">
        <v>339</v>
      </c>
      <c r="B495" s="8">
        <v>10.75</v>
      </c>
      <c r="C495" s="7">
        <f t="shared" si="7"/>
        <v>0.85450710394860963</v>
      </c>
    </row>
    <row r="496" spans="1:3" x14ac:dyDescent="0.3">
      <c r="A496" s="6" t="s">
        <v>340</v>
      </c>
      <c r="B496" s="8">
        <v>10.75</v>
      </c>
      <c r="C496" s="7">
        <f t="shared" si="7"/>
        <v>0.85450710394860963</v>
      </c>
    </row>
    <row r="497" spans="1:3" x14ac:dyDescent="0.3">
      <c r="A497" s="6" t="s">
        <v>1086</v>
      </c>
      <c r="B497" s="8">
        <v>10.75</v>
      </c>
      <c r="C497" s="7">
        <f t="shared" si="7"/>
        <v>0.85450710394860963</v>
      </c>
    </row>
    <row r="498" spans="1:3" x14ac:dyDescent="0.3">
      <c r="A498" s="6" t="s">
        <v>1087</v>
      </c>
      <c r="B498" s="8">
        <v>10.75</v>
      </c>
      <c r="C498" s="7">
        <f t="shared" si="7"/>
        <v>0.85450710394860963</v>
      </c>
    </row>
    <row r="499" spans="1:3" x14ac:dyDescent="0.3">
      <c r="A499" s="6" t="s">
        <v>341</v>
      </c>
      <c r="B499" s="8">
        <v>10.75</v>
      </c>
      <c r="C499" s="7">
        <f t="shared" si="7"/>
        <v>0.85450710394860963</v>
      </c>
    </row>
    <row r="500" spans="1:3" x14ac:dyDescent="0.3">
      <c r="A500" s="6" t="s">
        <v>342</v>
      </c>
      <c r="B500" s="8">
        <v>10.75</v>
      </c>
      <c r="C500" s="7">
        <f t="shared" si="7"/>
        <v>0.85450710394860963</v>
      </c>
    </row>
    <row r="501" spans="1:3" x14ac:dyDescent="0.3">
      <c r="A501" s="6" t="s">
        <v>343</v>
      </c>
      <c r="B501" s="8">
        <v>10.75</v>
      </c>
      <c r="C501" s="7">
        <f t="shared" si="7"/>
        <v>0.85450710394860963</v>
      </c>
    </row>
    <row r="502" spans="1:3" x14ac:dyDescent="0.3">
      <c r="A502" s="6" t="s">
        <v>344</v>
      </c>
      <c r="B502" s="8">
        <v>10.5</v>
      </c>
      <c r="C502" s="7">
        <f t="shared" si="7"/>
        <v>0.8355155683635207</v>
      </c>
    </row>
    <row r="503" spans="1:3" x14ac:dyDescent="0.3">
      <c r="A503" s="6" t="s">
        <v>345</v>
      </c>
      <c r="B503" s="8">
        <v>10.5</v>
      </c>
      <c r="C503" s="7">
        <f t="shared" si="7"/>
        <v>0.8355155683635207</v>
      </c>
    </row>
    <row r="504" spans="1:3" x14ac:dyDescent="0.3">
      <c r="A504" s="6" t="s">
        <v>1088</v>
      </c>
      <c r="B504" s="8">
        <v>10.5</v>
      </c>
      <c r="C504" s="7">
        <f t="shared" si="7"/>
        <v>0.8355155683635207</v>
      </c>
    </row>
    <row r="505" spans="1:3" x14ac:dyDescent="0.3">
      <c r="A505" s="6" t="s">
        <v>1089</v>
      </c>
      <c r="B505" s="8">
        <v>10.5</v>
      </c>
      <c r="C505" s="7">
        <f t="shared" si="7"/>
        <v>0.8355155683635207</v>
      </c>
    </row>
    <row r="506" spans="1:3" x14ac:dyDescent="0.3">
      <c r="A506" s="6" t="s">
        <v>346</v>
      </c>
      <c r="B506" s="8">
        <v>10.5</v>
      </c>
      <c r="C506" s="7">
        <f t="shared" si="7"/>
        <v>0.8355155683635207</v>
      </c>
    </row>
    <row r="507" spans="1:3" x14ac:dyDescent="0.3">
      <c r="A507" s="6" t="s">
        <v>347</v>
      </c>
      <c r="B507" s="8">
        <v>10.5</v>
      </c>
      <c r="C507" s="7">
        <f t="shared" si="7"/>
        <v>0.8355155683635207</v>
      </c>
    </row>
    <row r="508" spans="1:3" x14ac:dyDescent="0.3">
      <c r="A508" s="6" t="s">
        <v>348</v>
      </c>
      <c r="B508" s="8">
        <v>10.5</v>
      </c>
      <c r="C508" s="7">
        <f t="shared" si="7"/>
        <v>0.8355155683635207</v>
      </c>
    </row>
    <row r="509" spans="1:3" x14ac:dyDescent="0.3">
      <c r="A509" s="6" t="s">
        <v>349</v>
      </c>
      <c r="B509" s="8">
        <v>10.5</v>
      </c>
      <c r="C509" s="7">
        <f t="shared" si="7"/>
        <v>0.8355155683635207</v>
      </c>
    </row>
    <row r="510" spans="1:3" x14ac:dyDescent="0.3">
      <c r="A510" s="6" t="s">
        <v>350</v>
      </c>
      <c r="B510" s="8">
        <v>10.5</v>
      </c>
      <c r="C510" s="7">
        <f t="shared" si="7"/>
        <v>0.8355155683635207</v>
      </c>
    </row>
    <row r="511" spans="1:3" x14ac:dyDescent="0.3">
      <c r="A511" s="6" t="s">
        <v>1090</v>
      </c>
      <c r="B511" s="8">
        <v>10.5</v>
      </c>
      <c r="C511" s="7">
        <f t="shared" si="7"/>
        <v>0.8355155683635207</v>
      </c>
    </row>
    <row r="512" spans="1:3" x14ac:dyDescent="0.3">
      <c r="A512" s="6" t="s">
        <v>1091</v>
      </c>
      <c r="B512" s="8">
        <v>10.5</v>
      </c>
      <c r="C512" s="7">
        <f t="shared" si="7"/>
        <v>0.8355155683635207</v>
      </c>
    </row>
    <row r="513" spans="1:3" x14ac:dyDescent="0.3">
      <c r="A513" s="6" t="s">
        <v>351</v>
      </c>
      <c r="B513" s="8">
        <v>10.5</v>
      </c>
      <c r="C513" s="7">
        <f t="shared" si="7"/>
        <v>0.8355155683635207</v>
      </c>
    </row>
    <row r="514" spans="1:3" x14ac:dyDescent="0.3">
      <c r="A514" s="6" t="s">
        <v>352</v>
      </c>
      <c r="B514" s="8">
        <v>10.5</v>
      </c>
      <c r="C514" s="7">
        <f t="shared" si="7"/>
        <v>0.8355155683635207</v>
      </c>
    </row>
    <row r="515" spans="1:3" x14ac:dyDescent="0.3">
      <c r="A515" s="6" t="s">
        <v>353</v>
      </c>
      <c r="B515" s="8">
        <v>10.5</v>
      </c>
      <c r="C515" s="7">
        <f t="shared" si="7"/>
        <v>0.8355155683635207</v>
      </c>
    </row>
    <row r="516" spans="1:3" x14ac:dyDescent="0.3">
      <c r="A516" s="6" t="s">
        <v>354</v>
      </c>
      <c r="B516" s="8">
        <v>10.5</v>
      </c>
      <c r="C516" s="7">
        <f t="shared" si="7"/>
        <v>0.8355155683635207</v>
      </c>
    </row>
    <row r="517" spans="1:3" x14ac:dyDescent="0.3">
      <c r="A517" s="6" t="s">
        <v>355</v>
      </c>
      <c r="B517" s="8">
        <v>10.5</v>
      </c>
      <c r="C517" s="7">
        <f t="shared" si="7"/>
        <v>0.8355155683635207</v>
      </c>
    </row>
    <row r="518" spans="1:3" x14ac:dyDescent="0.3">
      <c r="A518" s="6" t="s">
        <v>1092</v>
      </c>
      <c r="B518" s="8">
        <v>10.5</v>
      </c>
      <c r="C518" s="7">
        <f t="shared" si="7"/>
        <v>0.8355155683635207</v>
      </c>
    </row>
    <row r="519" spans="1:3" x14ac:dyDescent="0.3">
      <c r="A519" s="6" t="s">
        <v>1093</v>
      </c>
      <c r="B519" s="8">
        <v>10.5</v>
      </c>
      <c r="C519" s="7">
        <f t="shared" si="7"/>
        <v>0.8355155683635207</v>
      </c>
    </row>
    <row r="520" spans="1:3" x14ac:dyDescent="0.3">
      <c r="A520" s="6" t="s">
        <v>356</v>
      </c>
      <c r="B520" s="8">
        <v>10.5</v>
      </c>
      <c r="C520" s="7">
        <f t="shared" ref="C520:C583" si="8">((1+B520/100)^(1/12)-1)*100</f>
        <v>0.8355155683635207</v>
      </c>
    </row>
    <row r="521" spans="1:3" x14ac:dyDescent="0.3">
      <c r="A521" s="6" t="s">
        <v>357</v>
      </c>
      <c r="B521" s="8">
        <v>10.5</v>
      </c>
      <c r="C521" s="7">
        <f t="shared" si="8"/>
        <v>0.8355155683635207</v>
      </c>
    </row>
    <row r="522" spans="1:3" x14ac:dyDescent="0.3">
      <c r="A522" s="6" t="s">
        <v>358</v>
      </c>
      <c r="B522" s="8">
        <v>10.5</v>
      </c>
      <c r="C522" s="7">
        <f t="shared" si="8"/>
        <v>0.8355155683635207</v>
      </c>
    </row>
    <row r="523" spans="1:3" x14ac:dyDescent="0.3">
      <c r="A523" s="6" t="s">
        <v>1094</v>
      </c>
      <c r="B523" s="8">
        <v>10.5</v>
      </c>
      <c r="C523" s="7">
        <f t="shared" si="8"/>
        <v>0.8355155683635207</v>
      </c>
    </row>
    <row r="524" spans="1:3" x14ac:dyDescent="0.3">
      <c r="A524" s="6" t="s">
        <v>359</v>
      </c>
      <c r="B524" s="8">
        <v>10.5</v>
      </c>
      <c r="C524" s="7">
        <f t="shared" si="8"/>
        <v>0.8355155683635207</v>
      </c>
    </row>
    <row r="525" spans="1:3" x14ac:dyDescent="0.3">
      <c r="A525" s="6" t="s">
        <v>1095</v>
      </c>
      <c r="B525" s="8">
        <v>10.5</v>
      </c>
      <c r="C525" s="7">
        <f t="shared" si="8"/>
        <v>0.8355155683635207</v>
      </c>
    </row>
    <row r="526" spans="1:3" x14ac:dyDescent="0.3">
      <c r="A526" s="6" t="s">
        <v>1096</v>
      </c>
      <c r="B526" s="8">
        <v>10.5</v>
      </c>
      <c r="C526" s="7">
        <f t="shared" si="8"/>
        <v>0.8355155683635207</v>
      </c>
    </row>
    <row r="527" spans="1:3" x14ac:dyDescent="0.3">
      <c r="A527" s="6" t="s">
        <v>360</v>
      </c>
      <c r="B527" s="8">
        <v>10.5</v>
      </c>
      <c r="C527" s="7">
        <f t="shared" si="8"/>
        <v>0.8355155683635207</v>
      </c>
    </row>
    <row r="528" spans="1:3" x14ac:dyDescent="0.3">
      <c r="A528" s="6" t="s">
        <v>361</v>
      </c>
      <c r="B528" s="8">
        <v>10.5</v>
      </c>
      <c r="C528" s="7">
        <f t="shared" si="8"/>
        <v>0.8355155683635207</v>
      </c>
    </row>
    <row r="529" spans="1:3" x14ac:dyDescent="0.3">
      <c r="A529" s="6" t="s">
        <v>362</v>
      </c>
      <c r="B529" s="8">
        <v>10.5</v>
      </c>
      <c r="C529" s="7">
        <f t="shared" si="8"/>
        <v>0.8355155683635207</v>
      </c>
    </row>
    <row r="530" spans="1:3" x14ac:dyDescent="0.3">
      <c r="A530" s="6" t="s">
        <v>363</v>
      </c>
      <c r="B530" s="8">
        <v>10.5</v>
      </c>
      <c r="C530" s="7">
        <f t="shared" si="8"/>
        <v>0.8355155683635207</v>
      </c>
    </row>
    <row r="531" spans="1:3" x14ac:dyDescent="0.3">
      <c r="A531" s="6" t="s">
        <v>364</v>
      </c>
      <c r="B531" s="8">
        <v>10.5</v>
      </c>
      <c r="C531" s="7">
        <f t="shared" si="8"/>
        <v>0.8355155683635207</v>
      </c>
    </row>
    <row r="532" spans="1:3" x14ac:dyDescent="0.3">
      <c r="A532" s="6" t="s">
        <v>1097</v>
      </c>
      <c r="B532" s="8">
        <v>10.5</v>
      </c>
      <c r="C532" s="7">
        <f t="shared" si="8"/>
        <v>0.8355155683635207</v>
      </c>
    </row>
    <row r="533" spans="1:3" x14ac:dyDescent="0.3">
      <c r="A533" s="6" t="s">
        <v>1098</v>
      </c>
      <c r="B533" s="8">
        <v>10.5</v>
      </c>
      <c r="C533" s="7">
        <f t="shared" si="8"/>
        <v>0.8355155683635207</v>
      </c>
    </row>
    <row r="534" spans="1:3" x14ac:dyDescent="0.3">
      <c r="A534" s="6" t="s">
        <v>365</v>
      </c>
      <c r="B534" s="8">
        <v>10.5</v>
      </c>
      <c r="C534" s="7">
        <f t="shared" si="8"/>
        <v>0.8355155683635207</v>
      </c>
    </row>
    <row r="535" spans="1:3" x14ac:dyDescent="0.3">
      <c r="A535" s="6" t="s">
        <v>366</v>
      </c>
      <c r="B535" s="8">
        <v>10.5</v>
      </c>
      <c r="C535" s="7">
        <f t="shared" si="8"/>
        <v>0.8355155683635207</v>
      </c>
    </row>
    <row r="536" spans="1:3" x14ac:dyDescent="0.3">
      <c r="A536" s="6" t="s">
        <v>367</v>
      </c>
      <c r="B536" s="8">
        <v>10.5</v>
      </c>
      <c r="C536" s="7">
        <f t="shared" si="8"/>
        <v>0.8355155683635207</v>
      </c>
    </row>
    <row r="537" spans="1:3" x14ac:dyDescent="0.3">
      <c r="A537" s="6" t="s">
        <v>368</v>
      </c>
      <c r="B537" s="8">
        <v>10.5</v>
      </c>
      <c r="C537" s="7">
        <f t="shared" si="8"/>
        <v>0.8355155683635207</v>
      </c>
    </row>
    <row r="538" spans="1:3" x14ac:dyDescent="0.3">
      <c r="A538" s="6" t="s">
        <v>369</v>
      </c>
      <c r="B538" s="8">
        <v>10.5</v>
      </c>
      <c r="C538" s="7">
        <f t="shared" si="8"/>
        <v>0.8355155683635207</v>
      </c>
    </row>
    <row r="539" spans="1:3" x14ac:dyDescent="0.3">
      <c r="A539" s="6" t="s">
        <v>1099</v>
      </c>
      <c r="B539" s="8">
        <v>10.5</v>
      </c>
      <c r="C539" s="7">
        <f t="shared" si="8"/>
        <v>0.8355155683635207</v>
      </c>
    </row>
    <row r="540" spans="1:3" x14ac:dyDescent="0.3">
      <c r="A540" s="6" t="s">
        <v>1100</v>
      </c>
      <c r="B540" s="8">
        <v>10.5</v>
      </c>
      <c r="C540" s="7">
        <f t="shared" si="8"/>
        <v>0.8355155683635207</v>
      </c>
    </row>
    <row r="541" spans="1:3" x14ac:dyDescent="0.3">
      <c r="A541" s="6" t="s">
        <v>370</v>
      </c>
      <c r="B541" s="8">
        <v>10.5</v>
      </c>
      <c r="C541" s="7">
        <f t="shared" si="8"/>
        <v>0.8355155683635207</v>
      </c>
    </row>
    <row r="542" spans="1:3" x14ac:dyDescent="0.3">
      <c r="A542" s="6" t="s">
        <v>371</v>
      </c>
      <c r="B542" s="8">
        <v>10.5</v>
      </c>
      <c r="C542" s="7">
        <f t="shared" si="8"/>
        <v>0.8355155683635207</v>
      </c>
    </row>
    <row r="543" spans="1:3" x14ac:dyDescent="0.3">
      <c r="A543" s="6" t="s">
        <v>372</v>
      </c>
      <c r="B543" s="8">
        <v>10.5</v>
      </c>
      <c r="C543" s="7">
        <f t="shared" si="8"/>
        <v>0.8355155683635207</v>
      </c>
    </row>
    <row r="544" spans="1:3" x14ac:dyDescent="0.3">
      <c r="A544" s="6" t="s">
        <v>373</v>
      </c>
      <c r="B544" s="8">
        <v>10.5</v>
      </c>
      <c r="C544" s="7">
        <f t="shared" si="8"/>
        <v>0.8355155683635207</v>
      </c>
    </row>
    <row r="545" spans="1:3" x14ac:dyDescent="0.3">
      <c r="A545" s="6" t="s">
        <v>374</v>
      </c>
      <c r="B545" s="8">
        <v>10.5</v>
      </c>
      <c r="C545" s="7">
        <f t="shared" si="8"/>
        <v>0.8355155683635207</v>
      </c>
    </row>
    <row r="546" spans="1:3" x14ac:dyDescent="0.3">
      <c r="A546" s="6" t="s">
        <v>1101</v>
      </c>
      <c r="B546" s="8">
        <v>10.5</v>
      </c>
      <c r="C546" s="7">
        <f t="shared" si="8"/>
        <v>0.8355155683635207</v>
      </c>
    </row>
    <row r="547" spans="1:3" x14ac:dyDescent="0.3">
      <c r="A547" s="6" t="s">
        <v>1102</v>
      </c>
      <c r="B547" s="8">
        <v>10.5</v>
      </c>
      <c r="C547" s="7">
        <f t="shared" si="8"/>
        <v>0.8355155683635207</v>
      </c>
    </row>
    <row r="548" spans="1:3" x14ac:dyDescent="0.3">
      <c r="A548" s="6" t="s">
        <v>375</v>
      </c>
      <c r="B548" s="8">
        <v>10.5</v>
      </c>
      <c r="C548" s="7">
        <f t="shared" si="8"/>
        <v>0.8355155683635207</v>
      </c>
    </row>
    <row r="549" spans="1:3" x14ac:dyDescent="0.3">
      <c r="A549" s="6" t="s">
        <v>376</v>
      </c>
      <c r="B549" s="8">
        <v>10.5</v>
      </c>
      <c r="C549" s="7">
        <f t="shared" si="8"/>
        <v>0.8355155683635207</v>
      </c>
    </row>
    <row r="550" spans="1:3" x14ac:dyDescent="0.3">
      <c r="A550" s="6" t="s">
        <v>377</v>
      </c>
      <c r="B550" s="8">
        <v>10.5</v>
      </c>
      <c r="C550" s="7">
        <f t="shared" si="8"/>
        <v>0.8355155683635207</v>
      </c>
    </row>
    <row r="551" spans="1:3" x14ac:dyDescent="0.3">
      <c r="A551" s="6" t="s">
        <v>378</v>
      </c>
      <c r="B551" s="8">
        <v>10.5</v>
      </c>
      <c r="C551" s="7">
        <f t="shared" si="8"/>
        <v>0.8355155683635207</v>
      </c>
    </row>
    <row r="552" spans="1:3" x14ac:dyDescent="0.3">
      <c r="A552" s="6" t="s">
        <v>379</v>
      </c>
      <c r="B552" s="8">
        <v>10.5</v>
      </c>
      <c r="C552" s="7">
        <f t="shared" si="8"/>
        <v>0.8355155683635207</v>
      </c>
    </row>
    <row r="553" spans="1:3" x14ac:dyDescent="0.3">
      <c r="A553" s="6" t="s">
        <v>1103</v>
      </c>
      <c r="B553" s="8">
        <v>10.5</v>
      </c>
      <c r="C553" s="7">
        <f t="shared" si="8"/>
        <v>0.8355155683635207</v>
      </c>
    </row>
    <row r="554" spans="1:3" x14ac:dyDescent="0.3">
      <c r="A554" s="6" t="s">
        <v>1104</v>
      </c>
      <c r="B554" s="8">
        <v>10.5</v>
      </c>
      <c r="C554" s="7">
        <f t="shared" si="8"/>
        <v>0.8355155683635207</v>
      </c>
    </row>
    <row r="555" spans="1:3" x14ac:dyDescent="0.3">
      <c r="A555" s="6" t="s">
        <v>380</v>
      </c>
      <c r="B555" s="8">
        <v>10.5</v>
      </c>
      <c r="C555" s="7">
        <f t="shared" si="8"/>
        <v>0.8355155683635207</v>
      </c>
    </row>
    <row r="556" spans="1:3" x14ac:dyDescent="0.3">
      <c r="A556" s="6" t="s">
        <v>381</v>
      </c>
      <c r="B556" s="8">
        <v>10.5</v>
      </c>
      <c r="C556" s="7">
        <f t="shared" si="8"/>
        <v>0.8355155683635207</v>
      </c>
    </row>
    <row r="557" spans="1:3" x14ac:dyDescent="0.3">
      <c r="A557" s="6" t="s">
        <v>382</v>
      </c>
      <c r="B557" s="8">
        <v>10.5</v>
      </c>
      <c r="C557" s="7">
        <f t="shared" si="8"/>
        <v>0.8355155683635207</v>
      </c>
    </row>
    <row r="558" spans="1:3" x14ac:dyDescent="0.3">
      <c r="A558" s="6" t="s">
        <v>383</v>
      </c>
      <c r="B558" s="8">
        <v>10.5</v>
      </c>
      <c r="C558" s="7">
        <f t="shared" si="8"/>
        <v>0.8355155683635207</v>
      </c>
    </row>
    <row r="559" spans="1:3" x14ac:dyDescent="0.3">
      <c r="A559" s="6" t="s">
        <v>384</v>
      </c>
      <c r="B559" s="8">
        <v>10.5</v>
      </c>
      <c r="C559" s="7">
        <f t="shared" si="8"/>
        <v>0.8355155683635207</v>
      </c>
    </row>
    <row r="560" spans="1:3" x14ac:dyDescent="0.3">
      <c r="A560" s="6" t="s">
        <v>1105</v>
      </c>
      <c r="B560" s="8">
        <v>10.5</v>
      </c>
      <c r="C560" s="7">
        <f t="shared" si="8"/>
        <v>0.8355155683635207</v>
      </c>
    </row>
    <row r="561" spans="1:3" x14ac:dyDescent="0.3">
      <c r="A561" s="6" t="s">
        <v>1106</v>
      </c>
      <c r="B561" s="8">
        <v>10.5</v>
      </c>
      <c r="C561" s="7">
        <f t="shared" si="8"/>
        <v>0.8355155683635207</v>
      </c>
    </row>
    <row r="562" spans="1:3" x14ac:dyDescent="0.3">
      <c r="A562" s="6" t="s">
        <v>385</v>
      </c>
      <c r="B562" s="8">
        <v>10.5</v>
      </c>
      <c r="C562" s="7">
        <f t="shared" si="8"/>
        <v>0.8355155683635207</v>
      </c>
    </row>
    <row r="563" spans="1:3" x14ac:dyDescent="0.3">
      <c r="A563" s="6" t="s">
        <v>386</v>
      </c>
      <c r="B563" s="8">
        <v>10.5</v>
      </c>
      <c r="C563" s="7">
        <f t="shared" si="8"/>
        <v>0.8355155683635207</v>
      </c>
    </row>
    <row r="564" spans="1:3" x14ac:dyDescent="0.3">
      <c r="A564" s="6" t="s">
        <v>387</v>
      </c>
      <c r="B564" s="8">
        <v>10.5</v>
      </c>
      <c r="C564" s="7">
        <f t="shared" si="8"/>
        <v>0.8355155683635207</v>
      </c>
    </row>
    <row r="565" spans="1:3" x14ac:dyDescent="0.3">
      <c r="A565" s="6" t="s">
        <v>388</v>
      </c>
      <c r="B565" s="8">
        <v>10.5</v>
      </c>
      <c r="C565" s="7">
        <f t="shared" si="8"/>
        <v>0.8355155683635207</v>
      </c>
    </row>
    <row r="566" spans="1:3" x14ac:dyDescent="0.3">
      <c r="A566" s="6" t="s">
        <v>389</v>
      </c>
      <c r="B566" s="8">
        <v>10.5</v>
      </c>
      <c r="C566" s="7">
        <f t="shared" si="8"/>
        <v>0.8355155683635207</v>
      </c>
    </row>
    <row r="567" spans="1:3" x14ac:dyDescent="0.3">
      <c r="A567" s="6" t="s">
        <v>1107</v>
      </c>
      <c r="B567" s="8">
        <v>10.5</v>
      </c>
      <c r="C567" s="7">
        <f t="shared" si="8"/>
        <v>0.8355155683635207</v>
      </c>
    </row>
    <row r="568" spans="1:3" x14ac:dyDescent="0.3">
      <c r="A568" s="6" t="s">
        <v>1108</v>
      </c>
      <c r="B568" s="8">
        <v>10.5</v>
      </c>
      <c r="C568" s="7">
        <f t="shared" si="8"/>
        <v>0.8355155683635207</v>
      </c>
    </row>
    <row r="569" spans="1:3" x14ac:dyDescent="0.3">
      <c r="A569" s="6" t="s">
        <v>390</v>
      </c>
      <c r="B569" s="8">
        <v>10.5</v>
      </c>
      <c r="C569" s="7">
        <f t="shared" si="8"/>
        <v>0.8355155683635207</v>
      </c>
    </row>
    <row r="570" spans="1:3" x14ac:dyDescent="0.3">
      <c r="A570" s="6" t="s">
        <v>391</v>
      </c>
      <c r="B570" s="8">
        <v>10.5</v>
      </c>
      <c r="C570" s="7">
        <f t="shared" si="8"/>
        <v>0.8355155683635207</v>
      </c>
    </row>
    <row r="571" spans="1:3" x14ac:dyDescent="0.3">
      <c r="A571" s="6" t="s">
        <v>392</v>
      </c>
      <c r="B571" s="8">
        <v>10.5</v>
      </c>
      <c r="C571" s="7">
        <f t="shared" si="8"/>
        <v>0.8355155683635207</v>
      </c>
    </row>
    <row r="572" spans="1:3" x14ac:dyDescent="0.3">
      <c r="A572" s="6" t="s">
        <v>393</v>
      </c>
      <c r="B572" s="8">
        <v>10.5</v>
      </c>
      <c r="C572" s="7">
        <f t="shared" si="8"/>
        <v>0.8355155683635207</v>
      </c>
    </row>
    <row r="573" spans="1:3" x14ac:dyDescent="0.3">
      <c r="A573" s="6" t="s">
        <v>394</v>
      </c>
      <c r="B573" s="8">
        <v>10.5</v>
      </c>
      <c r="C573" s="7">
        <f t="shared" si="8"/>
        <v>0.8355155683635207</v>
      </c>
    </row>
    <row r="574" spans="1:3" x14ac:dyDescent="0.3">
      <c r="A574" s="6" t="s">
        <v>1109</v>
      </c>
      <c r="B574" s="8">
        <v>10.5</v>
      </c>
      <c r="C574" s="7">
        <f t="shared" si="8"/>
        <v>0.8355155683635207</v>
      </c>
    </row>
    <row r="575" spans="1:3" x14ac:dyDescent="0.3">
      <c r="A575" s="6" t="s">
        <v>1110</v>
      </c>
      <c r="B575" s="8">
        <v>10.5</v>
      </c>
      <c r="C575" s="7">
        <f t="shared" si="8"/>
        <v>0.8355155683635207</v>
      </c>
    </row>
    <row r="576" spans="1:3" x14ac:dyDescent="0.3">
      <c r="A576" s="6" t="s">
        <v>395</v>
      </c>
      <c r="B576" s="8">
        <v>10.5</v>
      </c>
      <c r="C576" s="7">
        <f t="shared" si="8"/>
        <v>0.8355155683635207</v>
      </c>
    </row>
    <row r="577" spans="1:3" x14ac:dyDescent="0.3">
      <c r="A577" s="6" t="s">
        <v>396</v>
      </c>
      <c r="B577" s="8">
        <v>10.5</v>
      </c>
      <c r="C577" s="7">
        <f t="shared" si="8"/>
        <v>0.8355155683635207</v>
      </c>
    </row>
    <row r="578" spans="1:3" x14ac:dyDescent="0.3">
      <c r="A578" s="6" t="s">
        <v>397</v>
      </c>
      <c r="B578" s="8">
        <v>10.5</v>
      </c>
      <c r="C578" s="7">
        <f t="shared" si="8"/>
        <v>0.8355155683635207</v>
      </c>
    </row>
    <row r="579" spans="1:3" x14ac:dyDescent="0.3">
      <c r="A579" s="6" t="s">
        <v>398</v>
      </c>
      <c r="B579" s="8">
        <v>10.5</v>
      </c>
      <c r="C579" s="7">
        <f t="shared" si="8"/>
        <v>0.8355155683635207</v>
      </c>
    </row>
    <row r="580" spans="1:3" x14ac:dyDescent="0.3">
      <c r="A580" s="6" t="s">
        <v>399</v>
      </c>
      <c r="B580" s="8">
        <v>10.5</v>
      </c>
      <c r="C580" s="7">
        <f t="shared" si="8"/>
        <v>0.8355155683635207</v>
      </c>
    </row>
    <row r="581" spans="1:3" x14ac:dyDescent="0.3">
      <c r="A581" s="6" t="s">
        <v>1111</v>
      </c>
      <c r="B581" s="8">
        <v>10.5</v>
      </c>
      <c r="C581" s="7">
        <f t="shared" si="8"/>
        <v>0.8355155683635207</v>
      </c>
    </row>
    <row r="582" spans="1:3" x14ac:dyDescent="0.3">
      <c r="A582" s="6" t="s">
        <v>1112</v>
      </c>
      <c r="B582" s="8">
        <v>10.5</v>
      </c>
      <c r="C582" s="7">
        <f t="shared" si="8"/>
        <v>0.8355155683635207</v>
      </c>
    </row>
    <row r="583" spans="1:3" x14ac:dyDescent="0.3">
      <c r="A583" s="6" t="s">
        <v>400</v>
      </c>
      <c r="B583" s="8">
        <v>10.5</v>
      </c>
      <c r="C583" s="7">
        <f t="shared" si="8"/>
        <v>0.8355155683635207</v>
      </c>
    </row>
    <row r="584" spans="1:3" x14ac:dyDescent="0.3">
      <c r="A584" s="6" t="s">
        <v>401</v>
      </c>
      <c r="B584" s="8">
        <v>10.5</v>
      </c>
      <c r="C584" s="7">
        <f t="shared" ref="C584:C647" si="9">((1+B584/100)^(1/12)-1)*100</f>
        <v>0.8355155683635207</v>
      </c>
    </row>
    <row r="585" spans="1:3" x14ac:dyDescent="0.3">
      <c r="A585" s="6" t="s">
        <v>402</v>
      </c>
      <c r="B585" s="8">
        <v>10.5</v>
      </c>
      <c r="C585" s="7">
        <f t="shared" si="9"/>
        <v>0.8355155683635207</v>
      </c>
    </row>
    <row r="586" spans="1:3" x14ac:dyDescent="0.3">
      <c r="A586" s="6" t="s">
        <v>403</v>
      </c>
      <c r="B586" s="8">
        <v>10.5</v>
      </c>
      <c r="C586" s="7">
        <f t="shared" si="9"/>
        <v>0.8355155683635207</v>
      </c>
    </row>
    <row r="587" spans="1:3" x14ac:dyDescent="0.3">
      <c r="A587" s="6" t="s">
        <v>404</v>
      </c>
      <c r="B587" s="8">
        <v>10.5</v>
      </c>
      <c r="C587" s="7">
        <f t="shared" si="9"/>
        <v>0.8355155683635207</v>
      </c>
    </row>
    <row r="588" spans="1:3" x14ac:dyDescent="0.3">
      <c r="A588" s="6" t="s">
        <v>1113</v>
      </c>
      <c r="B588" s="8">
        <v>10.5</v>
      </c>
      <c r="C588" s="7">
        <f t="shared" si="9"/>
        <v>0.8355155683635207</v>
      </c>
    </row>
    <row r="589" spans="1:3" x14ac:dyDescent="0.3">
      <c r="A589" s="6" t="s">
        <v>1114</v>
      </c>
      <c r="B589" s="8">
        <v>10.5</v>
      </c>
      <c r="C589" s="7">
        <f t="shared" si="9"/>
        <v>0.8355155683635207</v>
      </c>
    </row>
    <row r="590" spans="1:3" x14ac:dyDescent="0.3">
      <c r="A590" s="6" t="s">
        <v>405</v>
      </c>
      <c r="B590" s="8">
        <v>10.5</v>
      </c>
      <c r="C590" s="7">
        <f t="shared" si="9"/>
        <v>0.8355155683635207</v>
      </c>
    </row>
    <row r="591" spans="1:3" x14ac:dyDescent="0.3">
      <c r="A591" s="6" t="s">
        <v>406</v>
      </c>
      <c r="B591" s="8">
        <v>10.5</v>
      </c>
      <c r="C591" s="7">
        <f t="shared" si="9"/>
        <v>0.8355155683635207</v>
      </c>
    </row>
    <row r="592" spans="1:3" x14ac:dyDescent="0.3">
      <c r="A592" s="6" t="s">
        <v>407</v>
      </c>
      <c r="B592" s="8">
        <v>10.5</v>
      </c>
      <c r="C592" s="7">
        <f t="shared" si="9"/>
        <v>0.8355155683635207</v>
      </c>
    </row>
    <row r="593" spans="1:3" x14ac:dyDescent="0.3">
      <c r="A593" s="6" t="s">
        <v>408</v>
      </c>
      <c r="B593" s="8">
        <v>10.5</v>
      </c>
      <c r="C593" s="7">
        <f t="shared" si="9"/>
        <v>0.8355155683635207</v>
      </c>
    </row>
    <row r="594" spans="1:3" x14ac:dyDescent="0.3">
      <c r="A594" s="6" t="s">
        <v>409</v>
      </c>
      <c r="B594" s="8">
        <v>10.5</v>
      </c>
      <c r="C594" s="7">
        <f t="shared" si="9"/>
        <v>0.8355155683635207</v>
      </c>
    </row>
    <row r="595" spans="1:3" x14ac:dyDescent="0.3">
      <c r="A595" s="6" t="s">
        <v>1115</v>
      </c>
      <c r="B595" s="8">
        <v>10.5</v>
      </c>
      <c r="C595" s="7">
        <f t="shared" si="9"/>
        <v>0.8355155683635207</v>
      </c>
    </row>
    <row r="596" spans="1:3" x14ac:dyDescent="0.3">
      <c r="A596" s="6" t="s">
        <v>1116</v>
      </c>
      <c r="B596" s="8">
        <v>10.5</v>
      </c>
      <c r="C596" s="7">
        <f t="shared" si="9"/>
        <v>0.8355155683635207</v>
      </c>
    </row>
    <row r="597" spans="1:3" x14ac:dyDescent="0.3">
      <c r="A597" s="6" t="s">
        <v>410</v>
      </c>
      <c r="B597" s="8">
        <v>10.5</v>
      </c>
      <c r="C597" s="7">
        <f t="shared" si="9"/>
        <v>0.8355155683635207</v>
      </c>
    </row>
    <row r="598" spans="1:3" x14ac:dyDescent="0.3">
      <c r="A598" s="6" t="s">
        <v>411</v>
      </c>
      <c r="B598" s="8">
        <v>10.5</v>
      </c>
      <c r="C598" s="7">
        <f t="shared" si="9"/>
        <v>0.8355155683635207</v>
      </c>
    </row>
    <row r="599" spans="1:3" x14ac:dyDescent="0.3">
      <c r="A599" s="6" t="s">
        <v>412</v>
      </c>
      <c r="B599" s="8">
        <v>10.5</v>
      </c>
      <c r="C599" s="7">
        <f t="shared" si="9"/>
        <v>0.8355155683635207</v>
      </c>
    </row>
    <row r="600" spans="1:3" x14ac:dyDescent="0.3">
      <c r="A600" s="6" t="s">
        <v>413</v>
      </c>
      <c r="B600" s="8">
        <v>10.5</v>
      </c>
      <c r="C600" s="7">
        <f t="shared" si="9"/>
        <v>0.8355155683635207</v>
      </c>
    </row>
    <row r="601" spans="1:3" x14ac:dyDescent="0.3">
      <c r="A601" s="6" t="s">
        <v>414</v>
      </c>
      <c r="B601" s="8">
        <v>10.5</v>
      </c>
      <c r="C601" s="7">
        <f t="shared" si="9"/>
        <v>0.8355155683635207</v>
      </c>
    </row>
    <row r="602" spans="1:3" x14ac:dyDescent="0.3">
      <c r="A602" s="6" t="s">
        <v>1117</v>
      </c>
      <c r="B602" s="8">
        <v>10.5</v>
      </c>
      <c r="C602" s="7">
        <f t="shared" si="9"/>
        <v>0.8355155683635207</v>
      </c>
    </row>
    <row r="603" spans="1:3" x14ac:dyDescent="0.3">
      <c r="A603" s="6" t="s">
        <v>1118</v>
      </c>
      <c r="B603" s="8">
        <v>10.5</v>
      </c>
      <c r="C603" s="7">
        <f t="shared" si="9"/>
        <v>0.8355155683635207</v>
      </c>
    </row>
    <row r="604" spans="1:3" x14ac:dyDescent="0.3">
      <c r="A604" s="6" t="s">
        <v>415</v>
      </c>
      <c r="B604" s="8">
        <v>10.5</v>
      </c>
      <c r="C604" s="7">
        <f t="shared" si="9"/>
        <v>0.8355155683635207</v>
      </c>
    </row>
    <row r="605" spans="1:3" x14ac:dyDescent="0.3">
      <c r="A605" s="6" t="s">
        <v>416</v>
      </c>
      <c r="B605" s="8">
        <v>10.5</v>
      </c>
      <c r="C605" s="7">
        <f t="shared" si="9"/>
        <v>0.8355155683635207</v>
      </c>
    </row>
    <row r="606" spans="1:3" x14ac:dyDescent="0.3">
      <c r="A606" s="6" t="s">
        <v>417</v>
      </c>
      <c r="B606" s="8">
        <v>10.5</v>
      </c>
      <c r="C606" s="7">
        <f t="shared" si="9"/>
        <v>0.8355155683635207</v>
      </c>
    </row>
    <row r="607" spans="1:3" x14ac:dyDescent="0.3">
      <c r="A607" s="6" t="s">
        <v>418</v>
      </c>
      <c r="B607" s="8">
        <v>10.5</v>
      </c>
      <c r="C607" s="7">
        <f t="shared" si="9"/>
        <v>0.8355155683635207</v>
      </c>
    </row>
    <row r="608" spans="1:3" x14ac:dyDescent="0.3">
      <c r="A608" s="6" t="s">
        <v>419</v>
      </c>
      <c r="B608" s="8">
        <v>10.5</v>
      </c>
      <c r="C608" s="7">
        <f t="shared" si="9"/>
        <v>0.8355155683635207</v>
      </c>
    </row>
    <row r="609" spans="1:3" x14ac:dyDescent="0.3">
      <c r="A609" s="6" t="s">
        <v>1119</v>
      </c>
      <c r="B609" s="8">
        <v>10.5</v>
      </c>
      <c r="C609" s="7">
        <f t="shared" si="9"/>
        <v>0.8355155683635207</v>
      </c>
    </row>
    <row r="610" spans="1:3" x14ac:dyDescent="0.3">
      <c r="A610" s="6" t="s">
        <v>1120</v>
      </c>
      <c r="B610" s="8">
        <v>10.5</v>
      </c>
      <c r="C610" s="7">
        <f t="shared" si="9"/>
        <v>0.8355155683635207</v>
      </c>
    </row>
    <row r="611" spans="1:3" x14ac:dyDescent="0.3">
      <c r="A611" s="6" t="s">
        <v>420</v>
      </c>
      <c r="B611" s="8">
        <v>10.5</v>
      </c>
      <c r="C611" s="7">
        <f t="shared" si="9"/>
        <v>0.8355155683635207</v>
      </c>
    </row>
    <row r="612" spans="1:3" x14ac:dyDescent="0.3">
      <c r="A612" s="6" t="s">
        <v>421</v>
      </c>
      <c r="B612" s="8">
        <v>10.5</v>
      </c>
      <c r="C612" s="7">
        <f t="shared" si="9"/>
        <v>0.8355155683635207</v>
      </c>
    </row>
    <row r="613" spans="1:3" x14ac:dyDescent="0.3">
      <c r="A613" s="6" t="s">
        <v>422</v>
      </c>
      <c r="B613" s="8">
        <v>10.5</v>
      </c>
      <c r="C613" s="7">
        <f t="shared" si="9"/>
        <v>0.8355155683635207</v>
      </c>
    </row>
    <row r="614" spans="1:3" x14ac:dyDescent="0.3">
      <c r="A614" s="6" t="s">
        <v>423</v>
      </c>
      <c r="B614" s="8">
        <v>10.5</v>
      </c>
      <c r="C614" s="7">
        <f t="shared" si="9"/>
        <v>0.8355155683635207</v>
      </c>
    </row>
    <row r="615" spans="1:3" x14ac:dyDescent="0.3">
      <c r="A615" s="6" t="s">
        <v>424</v>
      </c>
      <c r="B615" s="8">
        <v>10.5</v>
      </c>
      <c r="C615" s="7">
        <f t="shared" si="9"/>
        <v>0.8355155683635207</v>
      </c>
    </row>
    <row r="616" spans="1:3" x14ac:dyDescent="0.3">
      <c r="A616" s="6" t="s">
        <v>1121</v>
      </c>
      <c r="B616" s="8">
        <v>10.5</v>
      </c>
      <c r="C616" s="7">
        <f t="shared" si="9"/>
        <v>0.8355155683635207</v>
      </c>
    </row>
    <row r="617" spans="1:3" x14ac:dyDescent="0.3">
      <c r="A617" s="6" t="s">
        <v>1122</v>
      </c>
      <c r="B617" s="8">
        <v>10.5</v>
      </c>
      <c r="C617" s="7">
        <f t="shared" si="9"/>
        <v>0.8355155683635207</v>
      </c>
    </row>
    <row r="618" spans="1:3" x14ac:dyDescent="0.3">
      <c r="A618" s="6" t="s">
        <v>425</v>
      </c>
      <c r="B618" s="8">
        <v>10.5</v>
      </c>
      <c r="C618" s="7">
        <f t="shared" si="9"/>
        <v>0.8355155683635207</v>
      </c>
    </row>
    <row r="619" spans="1:3" x14ac:dyDescent="0.3">
      <c r="A619" s="6" t="s">
        <v>426</v>
      </c>
      <c r="B619" s="8">
        <v>10.5</v>
      </c>
      <c r="C619" s="7">
        <f t="shared" si="9"/>
        <v>0.8355155683635207</v>
      </c>
    </row>
    <row r="620" spans="1:3" x14ac:dyDescent="0.3">
      <c r="A620" s="6" t="s">
        <v>427</v>
      </c>
      <c r="B620" s="8">
        <v>10.5</v>
      </c>
      <c r="C620" s="7">
        <f t="shared" si="9"/>
        <v>0.8355155683635207</v>
      </c>
    </row>
    <row r="621" spans="1:3" x14ac:dyDescent="0.3">
      <c r="A621" s="6" t="s">
        <v>428</v>
      </c>
      <c r="B621" s="8">
        <v>10.5</v>
      </c>
      <c r="C621" s="7">
        <f t="shared" si="9"/>
        <v>0.8355155683635207</v>
      </c>
    </row>
    <row r="622" spans="1:3" x14ac:dyDescent="0.3">
      <c r="A622" s="6" t="s">
        <v>429</v>
      </c>
      <c r="B622" s="8">
        <v>10.5</v>
      </c>
      <c r="C622" s="7">
        <f t="shared" si="9"/>
        <v>0.8355155683635207</v>
      </c>
    </row>
    <row r="623" spans="1:3" x14ac:dyDescent="0.3">
      <c r="A623" s="6" t="s">
        <v>1123</v>
      </c>
      <c r="B623" s="8">
        <v>10.5</v>
      </c>
      <c r="C623" s="7">
        <f t="shared" si="9"/>
        <v>0.8355155683635207</v>
      </c>
    </row>
    <row r="624" spans="1:3" x14ac:dyDescent="0.3">
      <c r="A624" s="6" t="s">
        <v>1124</v>
      </c>
      <c r="B624" s="8">
        <v>10.5</v>
      </c>
      <c r="C624" s="7">
        <f t="shared" si="9"/>
        <v>0.8355155683635207</v>
      </c>
    </row>
    <row r="625" spans="1:3" x14ac:dyDescent="0.3">
      <c r="A625" s="6" t="s">
        <v>430</v>
      </c>
      <c r="B625" s="8">
        <v>10.5</v>
      </c>
      <c r="C625" s="7">
        <f t="shared" si="9"/>
        <v>0.8355155683635207</v>
      </c>
    </row>
    <row r="626" spans="1:3" x14ac:dyDescent="0.3">
      <c r="A626" s="6" t="s">
        <v>431</v>
      </c>
      <c r="B626" s="8">
        <v>10.5</v>
      </c>
      <c r="C626" s="7">
        <f t="shared" si="9"/>
        <v>0.8355155683635207</v>
      </c>
    </row>
    <row r="627" spans="1:3" x14ac:dyDescent="0.3">
      <c r="A627" s="6" t="s">
        <v>432</v>
      </c>
      <c r="B627" s="8">
        <v>10.5</v>
      </c>
      <c r="C627" s="7">
        <f t="shared" si="9"/>
        <v>0.8355155683635207</v>
      </c>
    </row>
    <row r="628" spans="1:3" x14ac:dyDescent="0.3">
      <c r="A628" s="6" t="s">
        <v>433</v>
      </c>
      <c r="B628" s="8">
        <v>10.5</v>
      </c>
      <c r="C628" s="7">
        <f t="shared" si="9"/>
        <v>0.8355155683635207</v>
      </c>
    </row>
    <row r="629" spans="1:3" x14ac:dyDescent="0.3">
      <c r="A629" s="6" t="s">
        <v>434</v>
      </c>
      <c r="B629" s="8">
        <v>10.5</v>
      </c>
      <c r="C629" s="7">
        <f t="shared" si="9"/>
        <v>0.8355155683635207</v>
      </c>
    </row>
    <row r="630" spans="1:3" x14ac:dyDescent="0.3">
      <c r="A630" s="6" t="s">
        <v>1125</v>
      </c>
      <c r="B630" s="8">
        <v>10.5</v>
      </c>
      <c r="C630" s="7">
        <f t="shared" si="9"/>
        <v>0.8355155683635207</v>
      </c>
    </row>
    <row r="631" spans="1:3" x14ac:dyDescent="0.3">
      <c r="A631" s="6" t="s">
        <v>1126</v>
      </c>
      <c r="B631" s="8">
        <v>10.5</v>
      </c>
      <c r="C631" s="7">
        <f t="shared" si="9"/>
        <v>0.8355155683635207</v>
      </c>
    </row>
    <row r="632" spans="1:3" x14ac:dyDescent="0.3">
      <c r="A632" s="6" t="s">
        <v>435</v>
      </c>
      <c r="B632" s="8">
        <v>10.5</v>
      </c>
      <c r="C632" s="7">
        <f t="shared" si="9"/>
        <v>0.8355155683635207</v>
      </c>
    </row>
    <row r="633" spans="1:3" x14ac:dyDescent="0.3">
      <c r="A633" s="6" t="s">
        <v>436</v>
      </c>
      <c r="B633" s="8">
        <v>10.5</v>
      </c>
      <c r="C633" s="7">
        <f t="shared" si="9"/>
        <v>0.8355155683635207</v>
      </c>
    </row>
    <row r="634" spans="1:3" x14ac:dyDescent="0.3">
      <c r="A634" s="6" t="s">
        <v>437</v>
      </c>
      <c r="B634" s="8">
        <v>10.5</v>
      </c>
      <c r="C634" s="7">
        <f t="shared" si="9"/>
        <v>0.8355155683635207</v>
      </c>
    </row>
    <row r="635" spans="1:3" x14ac:dyDescent="0.3">
      <c r="A635" s="6" t="s">
        <v>438</v>
      </c>
      <c r="B635" s="8">
        <v>10.75</v>
      </c>
      <c r="C635" s="7">
        <f t="shared" si="9"/>
        <v>0.85450710394860963</v>
      </c>
    </row>
    <row r="636" spans="1:3" x14ac:dyDescent="0.3">
      <c r="A636" s="6" t="s">
        <v>439</v>
      </c>
      <c r="B636" s="8">
        <v>10.75</v>
      </c>
      <c r="C636" s="7">
        <f t="shared" si="9"/>
        <v>0.85450710394860963</v>
      </c>
    </row>
    <row r="637" spans="1:3" x14ac:dyDescent="0.3">
      <c r="A637" s="6" t="s">
        <v>1127</v>
      </c>
      <c r="B637" s="8">
        <v>10.75</v>
      </c>
      <c r="C637" s="7">
        <f t="shared" si="9"/>
        <v>0.85450710394860963</v>
      </c>
    </row>
    <row r="638" spans="1:3" x14ac:dyDescent="0.3">
      <c r="A638" s="6" t="s">
        <v>1128</v>
      </c>
      <c r="B638" s="8">
        <v>10.75</v>
      </c>
      <c r="C638" s="7">
        <f t="shared" si="9"/>
        <v>0.85450710394860963</v>
      </c>
    </row>
    <row r="639" spans="1:3" x14ac:dyDescent="0.3">
      <c r="A639" s="6" t="s">
        <v>440</v>
      </c>
      <c r="B639" s="8">
        <v>10.75</v>
      </c>
      <c r="C639" s="7">
        <f t="shared" si="9"/>
        <v>0.85450710394860963</v>
      </c>
    </row>
    <row r="640" spans="1:3" x14ac:dyDescent="0.3">
      <c r="A640" s="6" t="s">
        <v>441</v>
      </c>
      <c r="B640" s="8">
        <v>10.75</v>
      </c>
      <c r="C640" s="7">
        <f t="shared" si="9"/>
        <v>0.85450710394860963</v>
      </c>
    </row>
    <row r="641" spans="1:3" x14ac:dyDescent="0.3">
      <c r="A641" s="6" t="s">
        <v>442</v>
      </c>
      <c r="B641" s="8">
        <v>10.75</v>
      </c>
      <c r="C641" s="7">
        <f t="shared" si="9"/>
        <v>0.85450710394860963</v>
      </c>
    </row>
    <row r="642" spans="1:3" x14ac:dyDescent="0.3">
      <c r="A642" s="6" t="s">
        <v>443</v>
      </c>
      <c r="B642" s="8">
        <v>10.75</v>
      </c>
      <c r="C642" s="7">
        <f t="shared" si="9"/>
        <v>0.85450710394860963</v>
      </c>
    </row>
    <row r="643" spans="1:3" x14ac:dyDescent="0.3">
      <c r="A643" s="6" t="s">
        <v>444</v>
      </c>
      <c r="B643" s="8">
        <v>10.75</v>
      </c>
      <c r="C643" s="7">
        <f t="shared" si="9"/>
        <v>0.85450710394860963</v>
      </c>
    </row>
    <row r="644" spans="1:3" x14ac:dyDescent="0.3">
      <c r="A644" s="6" t="s">
        <v>1129</v>
      </c>
      <c r="B644" s="8">
        <v>10.75</v>
      </c>
      <c r="C644" s="7">
        <f t="shared" si="9"/>
        <v>0.85450710394860963</v>
      </c>
    </row>
    <row r="645" spans="1:3" x14ac:dyDescent="0.3">
      <c r="A645" s="6" t="s">
        <v>1130</v>
      </c>
      <c r="B645" s="8">
        <v>10.75</v>
      </c>
      <c r="C645" s="7">
        <f t="shared" si="9"/>
        <v>0.85450710394860963</v>
      </c>
    </row>
    <row r="646" spans="1:3" x14ac:dyDescent="0.3">
      <c r="A646" s="6" t="s">
        <v>445</v>
      </c>
      <c r="B646" s="8">
        <v>10.75</v>
      </c>
      <c r="C646" s="7">
        <f t="shared" si="9"/>
        <v>0.85450710394860963</v>
      </c>
    </row>
    <row r="647" spans="1:3" x14ac:dyDescent="0.3">
      <c r="A647" s="6" t="s">
        <v>446</v>
      </c>
      <c r="B647" s="8">
        <v>10.75</v>
      </c>
      <c r="C647" s="7">
        <f t="shared" si="9"/>
        <v>0.85450710394860963</v>
      </c>
    </row>
    <row r="648" spans="1:3" x14ac:dyDescent="0.3">
      <c r="A648" s="6" t="s">
        <v>447</v>
      </c>
      <c r="B648" s="8">
        <v>10.75</v>
      </c>
      <c r="C648" s="7">
        <f t="shared" ref="C648:C711" si="10">((1+B648/100)^(1/12)-1)*100</f>
        <v>0.85450710394860963</v>
      </c>
    </row>
    <row r="649" spans="1:3" x14ac:dyDescent="0.3">
      <c r="A649" s="6" t="s">
        <v>448</v>
      </c>
      <c r="B649" s="8">
        <v>10.75</v>
      </c>
      <c r="C649" s="7">
        <f t="shared" si="10"/>
        <v>0.85450710394860963</v>
      </c>
    </row>
    <row r="650" spans="1:3" x14ac:dyDescent="0.3">
      <c r="A650" s="6" t="s">
        <v>449</v>
      </c>
      <c r="B650" s="8">
        <v>10.75</v>
      </c>
      <c r="C650" s="7">
        <f t="shared" si="10"/>
        <v>0.85450710394860963</v>
      </c>
    </row>
    <row r="651" spans="1:3" x14ac:dyDescent="0.3">
      <c r="A651" s="6" t="s">
        <v>1131</v>
      </c>
      <c r="B651" s="8">
        <v>10.75</v>
      </c>
      <c r="C651" s="7">
        <f t="shared" si="10"/>
        <v>0.85450710394860963</v>
      </c>
    </row>
    <row r="652" spans="1:3" x14ac:dyDescent="0.3">
      <c r="A652" s="6" t="s">
        <v>1132</v>
      </c>
      <c r="B652" s="8">
        <v>10.75</v>
      </c>
      <c r="C652" s="7">
        <f t="shared" si="10"/>
        <v>0.85450710394860963</v>
      </c>
    </row>
    <row r="653" spans="1:3" x14ac:dyDescent="0.3">
      <c r="A653" s="6" t="s">
        <v>450</v>
      </c>
      <c r="B653" s="8">
        <v>10.75</v>
      </c>
      <c r="C653" s="7">
        <f t="shared" si="10"/>
        <v>0.85450710394860963</v>
      </c>
    </row>
    <row r="654" spans="1:3" x14ac:dyDescent="0.3">
      <c r="A654" s="6" t="s">
        <v>451</v>
      </c>
      <c r="B654" s="8">
        <v>10.75</v>
      </c>
      <c r="C654" s="7">
        <f t="shared" si="10"/>
        <v>0.85450710394860963</v>
      </c>
    </row>
    <row r="655" spans="1:3" x14ac:dyDescent="0.3">
      <c r="A655" s="6" t="s">
        <v>452</v>
      </c>
      <c r="B655" s="8">
        <v>10.75</v>
      </c>
      <c r="C655" s="7">
        <f t="shared" si="10"/>
        <v>0.85450710394860963</v>
      </c>
    </row>
    <row r="656" spans="1:3" x14ac:dyDescent="0.3">
      <c r="A656" s="6" t="s">
        <v>453</v>
      </c>
      <c r="B656" s="8">
        <v>10.75</v>
      </c>
      <c r="C656" s="7">
        <f t="shared" si="10"/>
        <v>0.85450710394860963</v>
      </c>
    </row>
    <row r="657" spans="1:3" x14ac:dyDescent="0.3">
      <c r="A657" s="6" t="s">
        <v>454</v>
      </c>
      <c r="B657" s="8">
        <v>10.75</v>
      </c>
      <c r="C657" s="7">
        <f t="shared" si="10"/>
        <v>0.85450710394860963</v>
      </c>
    </row>
    <row r="658" spans="1:3" x14ac:dyDescent="0.3">
      <c r="A658" s="6" t="s">
        <v>1133</v>
      </c>
      <c r="B658" s="8">
        <v>10.75</v>
      </c>
      <c r="C658" s="7">
        <f t="shared" si="10"/>
        <v>0.85450710394860963</v>
      </c>
    </row>
    <row r="659" spans="1:3" x14ac:dyDescent="0.3">
      <c r="A659" s="6" t="s">
        <v>1134</v>
      </c>
      <c r="B659" s="8">
        <v>10.75</v>
      </c>
      <c r="C659" s="7">
        <f t="shared" si="10"/>
        <v>0.85450710394860963</v>
      </c>
    </row>
    <row r="660" spans="1:3" x14ac:dyDescent="0.3">
      <c r="A660" s="6" t="s">
        <v>455</v>
      </c>
      <c r="B660" s="8">
        <v>10.75</v>
      </c>
      <c r="C660" s="7">
        <f t="shared" si="10"/>
        <v>0.85450710394860963</v>
      </c>
    </row>
    <row r="661" spans="1:3" x14ac:dyDescent="0.3">
      <c r="A661" s="6" t="s">
        <v>456</v>
      </c>
      <c r="B661" s="8">
        <v>10.75</v>
      </c>
      <c r="C661" s="7">
        <f t="shared" si="10"/>
        <v>0.85450710394860963</v>
      </c>
    </row>
    <row r="662" spans="1:3" x14ac:dyDescent="0.3">
      <c r="A662" s="6" t="s">
        <v>457</v>
      </c>
      <c r="B662" s="8">
        <v>10.75</v>
      </c>
      <c r="C662" s="7">
        <f t="shared" si="10"/>
        <v>0.85450710394860963</v>
      </c>
    </row>
    <row r="663" spans="1:3" x14ac:dyDescent="0.3">
      <c r="A663" s="6" t="s">
        <v>458</v>
      </c>
      <c r="B663" s="8">
        <v>10.75</v>
      </c>
      <c r="C663" s="7">
        <f t="shared" si="10"/>
        <v>0.85450710394860963</v>
      </c>
    </row>
    <row r="664" spans="1:3" x14ac:dyDescent="0.3">
      <c r="A664" s="6" t="s">
        <v>459</v>
      </c>
      <c r="B664" s="8">
        <v>10.75</v>
      </c>
      <c r="C664" s="7">
        <f t="shared" si="10"/>
        <v>0.85450710394860963</v>
      </c>
    </row>
    <row r="665" spans="1:3" x14ac:dyDescent="0.3">
      <c r="A665" s="6" t="s">
        <v>1135</v>
      </c>
      <c r="B665" s="8">
        <v>10.75</v>
      </c>
      <c r="C665" s="7">
        <f t="shared" si="10"/>
        <v>0.85450710394860963</v>
      </c>
    </row>
    <row r="666" spans="1:3" x14ac:dyDescent="0.3">
      <c r="A666" s="6" t="s">
        <v>1136</v>
      </c>
      <c r="B666" s="8">
        <v>10.75</v>
      </c>
      <c r="C666" s="7">
        <f t="shared" si="10"/>
        <v>0.85450710394860963</v>
      </c>
    </row>
    <row r="667" spans="1:3" x14ac:dyDescent="0.3">
      <c r="A667" s="6" t="s">
        <v>460</v>
      </c>
      <c r="B667" s="8">
        <v>10.75</v>
      </c>
      <c r="C667" s="7">
        <f t="shared" si="10"/>
        <v>0.85450710394860963</v>
      </c>
    </row>
    <row r="668" spans="1:3" x14ac:dyDescent="0.3">
      <c r="A668" s="6" t="s">
        <v>461</v>
      </c>
      <c r="B668" s="8">
        <v>10.75</v>
      </c>
      <c r="C668" s="7">
        <f t="shared" si="10"/>
        <v>0.85450710394860963</v>
      </c>
    </row>
    <row r="669" spans="1:3" x14ac:dyDescent="0.3">
      <c r="A669" s="6" t="s">
        <v>462</v>
      </c>
      <c r="B669" s="8">
        <v>10.75</v>
      </c>
      <c r="C669" s="7">
        <f t="shared" si="10"/>
        <v>0.85450710394860963</v>
      </c>
    </row>
    <row r="670" spans="1:3" x14ac:dyDescent="0.3">
      <c r="A670" s="6" t="s">
        <v>463</v>
      </c>
      <c r="B670" s="8">
        <v>10.75</v>
      </c>
      <c r="C670" s="7">
        <f t="shared" si="10"/>
        <v>0.85450710394860963</v>
      </c>
    </row>
    <row r="671" spans="1:3" x14ac:dyDescent="0.3">
      <c r="A671" s="6" t="s">
        <v>464</v>
      </c>
      <c r="B671" s="8">
        <v>10.75</v>
      </c>
      <c r="C671" s="7">
        <f t="shared" si="10"/>
        <v>0.85450710394860963</v>
      </c>
    </row>
    <row r="672" spans="1:3" x14ac:dyDescent="0.3">
      <c r="A672" s="6" t="s">
        <v>1137</v>
      </c>
      <c r="B672" s="8">
        <v>10.75</v>
      </c>
      <c r="C672" s="7">
        <f t="shared" si="10"/>
        <v>0.85450710394860963</v>
      </c>
    </row>
    <row r="673" spans="1:3" x14ac:dyDescent="0.3">
      <c r="A673" s="6" t="s">
        <v>1138</v>
      </c>
      <c r="B673" s="8">
        <v>10.75</v>
      </c>
      <c r="C673" s="7">
        <f t="shared" si="10"/>
        <v>0.85450710394860963</v>
      </c>
    </row>
    <row r="674" spans="1:3" x14ac:dyDescent="0.3">
      <c r="A674" s="6" t="s">
        <v>465</v>
      </c>
      <c r="B674" s="8">
        <v>10.75</v>
      </c>
      <c r="C674" s="7">
        <f t="shared" si="10"/>
        <v>0.85450710394860963</v>
      </c>
    </row>
    <row r="675" spans="1:3" x14ac:dyDescent="0.3">
      <c r="A675" s="6" t="s">
        <v>466</v>
      </c>
      <c r="B675" s="8">
        <v>10.75</v>
      </c>
      <c r="C675" s="7">
        <f t="shared" si="10"/>
        <v>0.85450710394860963</v>
      </c>
    </row>
    <row r="676" spans="1:3" x14ac:dyDescent="0.3">
      <c r="A676" s="6" t="s">
        <v>467</v>
      </c>
      <c r="B676" s="8">
        <v>10.75</v>
      </c>
      <c r="C676" s="7">
        <f t="shared" si="10"/>
        <v>0.85450710394860963</v>
      </c>
    </row>
    <row r="677" spans="1:3" x14ac:dyDescent="0.3">
      <c r="A677" s="6" t="s">
        <v>468</v>
      </c>
      <c r="B677" s="8">
        <v>10.75</v>
      </c>
      <c r="C677" s="7">
        <f t="shared" si="10"/>
        <v>0.85450710394860963</v>
      </c>
    </row>
    <row r="678" spans="1:3" x14ac:dyDescent="0.3">
      <c r="A678" s="6" t="s">
        <v>469</v>
      </c>
      <c r="B678" s="8">
        <v>10.75</v>
      </c>
      <c r="C678" s="7">
        <f t="shared" si="10"/>
        <v>0.85450710394860963</v>
      </c>
    </row>
    <row r="679" spans="1:3" x14ac:dyDescent="0.3">
      <c r="A679" s="6" t="s">
        <v>1139</v>
      </c>
      <c r="B679" s="8">
        <v>10.75</v>
      </c>
      <c r="C679" s="7">
        <f t="shared" si="10"/>
        <v>0.85450710394860963</v>
      </c>
    </row>
    <row r="680" spans="1:3" x14ac:dyDescent="0.3">
      <c r="A680" s="6" t="s">
        <v>1140</v>
      </c>
      <c r="B680" s="8">
        <v>10.75</v>
      </c>
      <c r="C680" s="7">
        <f t="shared" si="10"/>
        <v>0.85450710394860963</v>
      </c>
    </row>
    <row r="681" spans="1:3" x14ac:dyDescent="0.3">
      <c r="A681" s="6" t="s">
        <v>470</v>
      </c>
      <c r="B681" s="8">
        <v>10.75</v>
      </c>
      <c r="C681" s="7">
        <f t="shared" si="10"/>
        <v>0.85450710394860963</v>
      </c>
    </row>
    <row r="682" spans="1:3" x14ac:dyDescent="0.3">
      <c r="A682" s="6" t="s">
        <v>471</v>
      </c>
      <c r="B682" s="8">
        <v>10.75</v>
      </c>
      <c r="C682" s="7">
        <f t="shared" si="10"/>
        <v>0.85450710394860963</v>
      </c>
    </row>
    <row r="683" spans="1:3" x14ac:dyDescent="0.3">
      <c r="A683" s="6" t="s">
        <v>472</v>
      </c>
      <c r="B683" s="8">
        <v>10.75</v>
      </c>
      <c r="C683" s="7">
        <f t="shared" si="10"/>
        <v>0.85450710394860963</v>
      </c>
    </row>
    <row r="684" spans="1:3" x14ac:dyDescent="0.3">
      <c r="A684" s="6" t="s">
        <v>473</v>
      </c>
      <c r="B684" s="8">
        <v>11.25</v>
      </c>
      <c r="C684" s="7">
        <f t="shared" si="10"/>
        <v>0.89237257287477778</v>
      </c>
    </row>
    <row r="685" spans="1:3" x14ac:dyDescent="0.3">
      <c r="A685" s="6" t="s">
        <v>474</v>
      </c>
      <c r="B685" s="8">
        <v>11.25</v>
      </c>
      <c r="C685" s="7">
        <f t="shared" si="10"/>
        <v>0.89237257287477778</v>
      </c>
    </row>
    <row r="686" spans="1:3" x14ac:dyDescent="0.3">
      <c r="A686" s="6" t="s">
        <v>1141</v>
      </c>
      <c r="B686" s="8">
        <v>11.25</v>
      </c>
      <c r="C686" s="7">
        <f t="shared" si="10"/>
        <v>0.89237257287477778</v>
      </c>
    </row>
    <row r="687" spans="1:3" x14ac:dyDescent="0.3">
      <c r="A687" s="6" t="s">
        <v>1142</v>
      </c>
      <c r="B687" s="8">
        <v>11.25</v>
      </c>
      <c r="C687" s="7">
        <f t="shared" si="10"/>
        <v>0.89237257287477778</v>
      </c>
    </row>
    <row r="688" spans="1:3" x14ac:dyDescent="0.3">
      <c r="A688" s="6" t="s">
        <v>475</v>
      </c>
      <c r="B688" s="8">
        <v>11.25</v>
      </c>
      <c r="C688" s="7">
        <f t="shared" si="10"/>
        <v>0.89237257287477778</v>
      </c>
    </row>
    <row r="689" spans="1:3" x14ac:dyDescent="0.3">
      <c r="A689" s="6" t="s">
        <v>476</v>
      </c>
      <c r="B689" s="8">
        <v>11.25</v>
      </c>
      <c r="C689" s="7">
        <f t="shared" si="10"/>
        <v>0.89237257287477778</v>
      </c>
    </row>
    <row r="690" spans="1:3" x14ac:dyDescent="0.3">
      <c r="A690" s="6" t="s">
        <v>477</v>
      </c>
      <c r="B690" s="8">
        <v>11.25</v>
      </c>
      <c r="C690" s="7">
        <f t="shared" si="10"/>
        <v>0.89237257287477778</v>
      </c>
    </row>
    <row r="691" spans="1:3" x14ac:dyDescent="0.3">
      <c r="A691" s="6" t="s">
        <v>478</v>
      </c>
      <c r="B691" s="8">
        <v>11.25</v>
      </c>
      <c r="C691" s="7">
        <f t="shared" si="10"/>
        <v>0.89237257287477778</v>
      </c>
    </row>
    <row r="692" spans="1:3" x14ac:dyDescent="0.3">
      <c r="A692" s="6" t="s">
        <v>1143</v>
      </c>
      <c r="B692" s="8">
        <v>11.25</v>
      </c>
      <c r="C692" s="7">
        <f t="shared" si="10"/>
        <v>0.89237257287477778</v>
      </c>
    </row>
    <row r="693" spans="1:3" x14ac:dyDescent="0.3">
      <c r="A693" s="6" t="s">
        <v>1144</v>
      </c>
      <c r="B693" s="8">
        <v>11.25</v>
      </c>
      <c r="C693" s="7">
        <f t="shared" si="10"/>
        <v>0.89237257287477778</v>
      </c>
    </row>
    <row r="694" spans="1:3" x14ac:dyDescent="0.3">
      <c r="A694" s="6" t="s">
        <v>1145</v>
      </c>
      <c r="B694" s="8">
        <v>11.25</v>
      </c>
      <c r="C694" s="7">
        <f t="shared" si="10"/>
        <v>0.89237257287477778</v>
      </c>
    </row>
    <row r="695" spans="1:3" x14ac:dyDescent="0.3">
      <c r="A695" s="6" t="s">
        <v>479</v>
      </c>
      <c r="B695" s="8">
        <v>11.25</v>
      </c>
      <c r="C695" s="7">
        <f t="shared" si="10"/>
        <v>0.89237257287477778</v>
      </c>
    </row>
    <row r="696" spans="1:3" x14ac:dyDescent="0.3">
      <c r="A696" s="6" t="s">
        <v>480</v>
      </c>
      <c r="B696" s="8">
        <v>11.25</v>
      </c>
      <c r="C696" s="7">
        <f t="shared" si="10"/>
        <v>0.89237257287477778</v>
      </c>
    </row>
    <row r="697" spans="1:3" x14ac:dyDescent="0.3">
      <c r="A697" s="6" t="s">
        <v>1146</v>
      </c>
      <c r="B697" s="8">
        <v>11.25</v>
      </c>
      <c r="C697" s="7">
        <f t="shared" si="10"/>
        <v>0.89237257287477778</v>
      </c>
    </row>
    <row r="698" spans="1:3" x14ac:dyDescent="0.3">
      <c r="A698" s="6" t="s">
        <v>481</v>
      </c>
      <c r="B698" s="8">
        <v>11.25</v>
      </c>
      <c r="C698" s="7">
        <f t="shared" si="10"/>
        <v>0.89237257287477778</v>
      </c>
    </row>
    <row r="699" spans="1:3" x14ac:dyDescent="0.3">
      <c r="A699" s="6" t="s">
        <v>482</v>
      </c>
      <c r="B699" s="8">
        <v>11.25</v>
      </c>
      <c r="C699" s="7">
        <f t="shared" si="10"/>
        <v>0.89237257287477778</v>
      </c>
    </row>
    <row r="700" spans="1:3" x14ac:dyDescent="0.3">
      <c r="A700" s="6" t="s">
        <v>1147</v>
      </c>
      <c r="B700" s="8">
        <v>11.25</v>
      </c>
      <c r="C700" s="7">
        <f t="shared" si="10"/>
        <v>0.89237257287477778</v>
      </c>
    </row>
    <row r="701" spans="1:3" x14ac:dyDescent="0.3">
      <c r="A701" s="6" t="s">
        <v>1148</v>
      </c>
      <c r="B701" s="8">
        <v>11.25</v>
      </c>
      <c r="C701" s="7">
        <f t="shared" si="10"/>
        <v>0.89237257287477778</v>
      </c>
    </row>
    <row r="702" spans="1:3" x14ac:dyDescent="0.3">
      <c r="A702" s="6" t="s">
        <v>483</v>
      </c>
      <c r="B702" s="8">
        <v>11.25</v>
      </c>
      <c r="C702" s="7">
        <f t="shared" si="10"/>
        <v>0.89237257287477778</v>
      </c>
    </row>
    <row r="703" spans="1:3" x14ac:dyDescent="0.3">
      <c r="A703" s="6" t="s">
        <v>484</v>
      </c>
      <c r="B703" s="8">
        <v>11.25</v>
      </c>
      <c r="C703" s="7">
        <f t="shared" si="10"/>
        <v>0.89237257287477778</v>
      </c>
    </row>
    <row r="704" spans="1:3" x14ac:dyDescent="0.3">
      <c r="A704" s="6" t="s">
        <v>485</v>
      </c>
      <c r="B704" s="8">
        <v>11.25</v>
      </c>
      <c r="C704" s="7">
        <f t="shared" si="10"/>
        <v>0.89237257287477778</v>
      </c>
    </row>
    <row r="705" spans="1:3" x14ac:dyDescent="0.3">
      <c r="A705" s="6" t="s">
        <v>486</v>
      </c>
      <c r="B705" s="8">
        <v>11.25</v>
      </c>
      <c r="C705" s="7">
        <f t="shared" si="10"/>
        <v>0.89237257287477778</v>
      </c>
    </row>
    <row r="706" spans="1:3" x14ac:dyDescent="0.3">
      <c r="A706" s="6" t="s">
        <v>487</v>
      </c>
      <c r="B706" s="8">
        <v>11.25</v>
      </c>
      <c r="C706" s="7">
        <f t="shared" si="10"/>
        <v>0.89237257287477778</v>
      </c>
    </row>
    <row r="707" spans="1:3" x14ac:dyDescent="0.3">
      <c r="A707" s="6" t="s">
        <v>1149</v>
      </c>
      <c r="B707" s="8">
        <v>11.25</v>
      </c>
      <c r="C707" s="7">
        <f t="shared" si="10"/>
        <v>0.89237257287477778</v>
      </c>
    </row>
    <row r="708" spans="1:3" x14ac:dyDescent="0.3">
      <c r="A708" s="6" t="s">
        <v>1150</v>
      </c>
      <c r="B708" s="8">
        <v>11.25</v>
      </c>
      <c r="C708" s="7">
        <f t="shared" si="10"/>
        <v>0.89237257287477778</v>
      </c>
    </row>
    <row r="709" spans="1:3" x14ac:dyDescent="0.3">
      <c r="A709" s="6" t="s">
        <v>488</v>
      </c>
      <c r="B709" s="8">
        <v>11.25</v>
      </c>
      <c r="C709" s="7">
        <f t="shared" si="10"/>
        <v>0.89237257287477778</v>
      </c>
    </row>
    <row r="710" spans="1:3" x14ac:dyDescent="0.3">
      <c r="A710" s="6" t="s">
        <v>489</v>
      </c>
      <c r="B710" s="8">
        <v>11.25</v>
      </c>
      <c r="C710" s="7">
        <f t="shared" si="10"/>
        <v>0.89237257287477778</v>
      </c>
    </row>
    <row r="711" spans="1:3" x14ac:dyDescent="0.3">
      <c r="A711" s="6" t="s">
        <v>490</v>
      </c>
      <c r="B711" s="8">
        <v>11.25</v>
      </c>
      <c r="C711" s="7">
        <f t="shared" si="10"/>
        <v>0.89237257287477778</v>
      </c>
    </row>
    <row r="712" spans="1:3" x14ac:dyDescent="0.3">
      <c r="A712" s="6" t="s">
        <v>491</v>
      </c>
      <c r="B712" s="8">
        <v>11.25</v>
      </c>
      <c r="C712" s="7">
        <f t="shared" ref="C712:C775" si="11">((1+B712/100)^(1/12)-1)*100</f>
        <v>0.89237257287477778</v>
      </c>
    </row>
    <row r="713" spans="1:3" x14ac:dyDescent="0.3">
      <c r="A713" s="6" t="s">
        <v>492</v>
      </c>
      <c r="B713" s="8">
        <v>11.25</v>
      </c>
      <c r="C713" s="7">
        <f t="shared" si="11"/>
        <v>0.89237257287477778</v>
      </c>
    </row>
    <row r="714" spans="1:3" x14ac:dyDescent="0.3">
      <c r="A714" s="6" t="s">
        <v>1151</v>
      </c>
      <c r="B714" s="8">
        <v>11.25</v>
      </c>
      <c r="C714" s="7">
        <f t="shared" si="11"/>
        <v>0.89237257287477778</v>
      </c>
    </row>
    <row r="715" spans="1:3" x14ac:dyDescent="0.3">
      <c r="A715" s="6" t="s">
        <v>1152</v>
      </c>
      <c r="B715" s="8">
        <v>11.25</v>
      </c>
      <c r="C715" s="7">
        <f t="shared" si="11"/>
        <v>0.89237257287477778</v>
      </c>
    </row>
    <row r="716" spans="1:3" x14ac:dyDescent="0.3">
      <c r="A716" s="6" t="s">
        <v>493</v>
      </c>
      <c r="B716" s="8">
        <v>11.25</v>
      </c>
      <c r="C716" s="7">
        <f t="shared" si="11"/>
        <v>0.89237257287477778</v>
      </c>
    </row>
    <row r="717" spans="1:3" x14ac:dyDescent="0.3">
      <c r="A717" s="6" t="s">
        <v>494</v>
      </c>
      <c r="B717" s="8">
        <v>11.25</v>
      </c>
      <c r="C717" s="7">
        <f t="shared" si="11"/>
        <v>0.89237257287477778</v>
      </c>
    </row>
    <row r="718" spans="1:3" x14ac:dyDescent="0.3">
      <c r="A718" s="6" t="s">
        <v>495</v>
      </c>
      <c r="B718" s="8">
        <v>11.25</v>
      </c>
      <c r="C718" s="7">
        <f t="shared" si="11"/>
        <v>0.89237257287477778</v>
      </c>
    </row>
    <row r="719" spans="1:3" x14ac:dyDescent="0.3">
      <c r="A719" s="6" t="s">
        <v>496</v>
      </c>
      <c r="B719" s="8">
        <v>12.25</v>
      </c>
      <c r="C719" s="7">
        <f t="shared" si="11"/>
        <v>0.96763780332134175</v>
      </c>
    </row>
    <row r="720" spans="1:3" x14ac:dyDescent="0.3">
      <c r="A720" s="6" t="s">
        <v>497</v>
      </c>
      <c r="B720" s="8">
        <v>12.25</v>
      </c>
      <c r="C720" s="7">
        <f t="shared" si="11"/>
        <v>0.96763780332134175</v>
      </c>
    </row>
    <row r="721" spans="1:3" x14ac:dyDescent="0.3">
      <c r="A721" s="6" t="s">
        <v>1153</v>
      </c>
      <c r="B721" s="8">
        <v>12.25</v>
      </c>
      <c r="C721" s="7">
        <f t="shared" si="11"/>
        <v>0.96763780332134175</v>
      </c>
    </row>
    <row r="722" spans="1:3" x14ac:dyDescent="0.3">
      <c r="A722" s="6" t="s">
        <v>1154</v>
      </c>
      <c r="B722" s="8">
        <v>12.25</v>
      </c>
      <c r="C722" s="7">
        <f t="shared" si="11"/>
        <v>0.96763780332134175</v>
      </c>
    </row>
    <row r="723" spans="1:3" x14ac:dyDescent="0.3">
      <c r="A723" s="6" t="s">
        <v>498</v>
      </c>
      <c r="B723" s="8">
        <v>12.25</v>
      </c>
      <c r="C723" s="7">
        <f t="shared" si="11"/>
        <v>0.96763780332134175</v>
      </c>
    </row>
    <row r="724" spans="1:3" x14ac:dyDescent="0.3">
      <c r="A724" s="6" t="s">
        <v>499</v>
      </c>
      <c r="B724" s="8">
        <v>12.25</v>
      </c>
      <c r="C724" s="7">
        <f t="shared" si="11"/>
        <v>0.96763780332134175</v>
      </c>
    </row>
    <row r="725" spans="1:3" x14ac:dyDescent="0.3">
      <c r="A725" s="6" t="s">
        <v>500</v>
      </c>
      <c r="B725" s="8">
        <v>12.25</v>
      </c>
      <c r="C725" s="7">
        <f t="shared" si="11"/>
        <v>0.96763780332134175</v>
      </c>
    </row>
    <row r="726" spans="1:3" x14ac:dyDescent="0.3">
      <c r="A726" s="6" t="s">
        <v>501</v>
      </c>
      <c r="B726" s="8">
        <v>12.25</v>
      </c>
      <c r="C726" s="7">
        <f t="shared" si="11"/>
        <v>0.96763780332134175</v>
      </c>
    </row>
    <row r="727" spans="1:3" x14ac:dyDescent="0.3">
      <c r="A727" s="6" t="s">
        <v>502</v>
      </c>
      <c r="B727" s="8">
        <v>12.25</v>
      </c>
      <c r="C727" s="7">
        <f t="shared" si="11"/>
        <v>0.96763780332134175</v>
      </c>
    </row>
    <row r="728" spans="1:3" x14ac:dyDescent="0.3">
      <c r="A728" s="6" t="s">
        <v>1155</v>
      </c>
      <c r="B728" s="8">
        <v>12.25</v>
      </c>
      <c r="C728" s="7">
        <f t="shared" si="11"/>
        <v>0.96763780332134175</v>
      </c>
    </row>
    <row r="729" spans="1:3" x14ac:dyDescent="0.3">
      <c r="A729" s="6" t="s">
        <v>1156</v>
      </c>
      <c r="B729" s="8">
        <v>12.25</v>
      </c>
      <c r="C729" s="7">
        <f t="shared" si="11"/>
        <v>0.96763780332134175</v>
      </c>
    </row>
    <row r="730" spans="1:3" x14ac:dyDescent="0.3">
      <c r="A730" s="6" t="s">
        <v>503</v>
      </c>
      <c r="B730" s="8">
        <v>12.25</v>
      </c>
      <c r="C730" s="7">
        <f t="shared" si="11"/>
        <v>0.96763780332134175</v>
      </c>
    </row>
    <row r="731" spans="1:3" x14ac:dyDescent="0.3">
      <c r="A731" s="6" t="s">
        <v>504</v>
      </c>
      <c r="B731" s="8">
        <v>12.25</v>
      </c>
      <c r="C731" s="7">
        <f t="shared" si="11"/>
        <v>0.96763780332134175</v>
      </c>
    </row>
    <row r="732" spans="1:3" x14ac:dyDescent="0.3">
      <c r="A732" s="6" t="s">
        <v>1157</v>
      </c>
      <c r="B732" s="8">
        <v>12.25</v>
      </c>
      <c r="C732" s="7">
        <f t="shared" si="11"/>
        <v>0.96763780332134175</v>
      </c>
    </row>
    <row r="733" spans="1:3" x14ac:dyDescent="0.3">
      <c r="A733" s="6" t="s">
        <v>505</v>
      </c>
      <c r="B733" s="8">
        <v>12.25</v>
      </c>
      <c r="C733" s="7">
        <f t="shared" si="11"/>
        <v>0.96763780332134175</v>
      </c>
    </row>
    <row r="734" spans="1:3" x14ac:dyDescent="0.3">
      <c r="A734" s="6" t="s">
        <v>506</v>
      </c>
      <c r="B734" s="8">
        <v>12.25</v>
      </c>
      <c r="C734" s="7">
        <f t="shared" si="11"/>
        <v>0.96763780332134175</v>
      </c>
    </row>
    <row r="735" spans="1:3" x14ac:dyDescent="0.3">
      <c r="A735" s="6" t="s">
        <v>1158</v>
      </c>
      <c r="B735" s="8">
        <v>12.25</v>
      </c>
      <c r="C735" s="7">
        <f t="shared" si="11"/>
        <v>0.96763780332134175</v>
      </c>
    </row>
    <row r="736" spans="1:3" x14ac:dyDescent="0.3">
      <c r="A736" s="6" t="s">
        <v>1159</v>
      </c>
      <c r="B736" s="8">
        <v>12.25</v>
      </c>
      <c r="C736" s="7">
        <f t="shared" si="11"/>
        <v>0.96763780332134175</v>
      </c>
    </row>
    <row r="737" spans="1:3" x14ac:dyDescent="0.3">
      <c r="A737" s="6" t="s">
        <v>507</v>
      </c>
      <c r="B737" s="8">
        <v>12.25</v>
      </c>
      <c r="C737" s="7">
        <f t="shared" si="11"/>
        <v>0.96763780332134175</v>
      </c>
    </row>
    <row r="738" spans="1:3" x14ac:dyDescent="0.3">
      <c r="A738" s="6" t="s">
        <v>508</v>
      </c>
      <c r="B738" s="8">
        <v>12.25</v>
      </c>
      <c r="C738" s="7">
        <f t="shared" si="11"/>
        <v>0.96763780332134175</v>
      </c>
    </row>
    <row r="739" spans="1:3" x14ac:dyDescent="0.3">
      <c r="A739" s="6" t="s">
        <v>1160</v>
      </c>
      <c r="B739" s="8">
        <v>12.25</v>
      </c>
      <c r="C739" s="7">
        <f t="shared" si="11"/>
        <v>0.96763780332134175</v>
      </c>
    </row>
    <row r="740" spans="1:3" x14ac:dyDescent="0.3">
      <c r="A740" s="6" t="s">
        <v>509</v>
      </c>
      <c r="B740" s="8">
        <v>12.25</v>
      </c>
      <c r="C740" s="7">
        <f t="shared" si="11"/>
        <v>0.96763780332134175</v>
      </c>
    </row>
    <row r="741" spans="1:3" x14ac:dyDescent="0.3">
      <c r="A741" s="6" t="s">
        <v>510</v>
      </c>
      <c r="B741" s="8">
        <v>12.25</v>
      </c>
      <c r="C741" s="7">
        <f t="shared" si="11"/>
        <v>0.96763780332134175</v>
      </c>
    </row>
    <row r="742" spans="1:3" x14ac:dyDescent="0.3">
      <c r="A742" s="6" t="s">
        <v>1161</v>
      </c>
      <c r="B742" s="8">
        <v>12.25</v>
      </c>
      <c r="C742" s="7">
        <f t="shared" si="11"/>
        <v>0.96763780332134175</v>
      </c>
    </row>
    <row r="743" spans="1:3" x14ac:dyDescent="0.3">
      <c r="A743" s="6" t="s">
        <v>1162</v>
      </c>
      <c r="B743" s="8">
        <v>12.25</v>
      </c>
      <c r="C743" s="7">
        <f t="shared" si="11"/>
        <v>0.96763780332134175</v>
      </c>
    </row>
    <row r="744" spans="1:3" x14ac:dyDescent="0.3">
      <c r="A744" s="6" t="s">
        <v>511</v>
      </c>
      <c r="B744" s="8">
        <v>12.25</v>
      </c>
      <c r="C744" s="7">
        <f t="shared" si="11"/>
        <v>0.96763780332134175</v>
      </c>
    </row>
    <row r="745" spans="1:3" x14ac:dyDescent="0.3">
      <c r="A745" s="6" t="s">
        <v>512</v>
      </c>
      <c r="B745" s="8">
        <v>12.25</v>
      </c>
      <c r="C745" s="7">
        <f t="shared" si="11"/>
        <v>0.96763780332134175</v>
      </c>
    </row>
    <row r="746" spans="1:3" x14ac:dyDescent="0.3">
      <c r="A746" s="6" t="s">
        <v>513</v>
      </c>
      <c r="B746" s="8">
        <v>12.25</v>
      </c>
      <c r="C746" s="7">
        <f t="shared" si="11"/>
        <v>0.96763780332134175</v>
      </c>
    </row>
    <row r="747" spans="1:3" x14ac:dyDescent="0.3">
      <c r="A747" s="6" t="s">
        <v>514</v>
      </c>
      <c r="B747" s="8">
        <v>12.25</v>
      </c>
      <c r="C747" s="7">
        <f t="shared" si="11"/>
        <v>0.96763780332134175</v>
      </c>
    </row>
    <row r="748" spans="1:3" x14ac:dyDescent="0.3">
      <c r="A748" s="6" t="s">
        <v>515</v>
      </c>
      <c r="B748" s="8">
        <v>12.25</v>
      </c>
      <c r="C748" s="7">
        <f t="shared" si="11"/>
        <v>0.96763780332134175</v>
      </c>
    </row>
    <row r="749" spans="1:3" x14ac:dyDescent="0.3">
      <c r="A749" s="6" t="s">
        <v>1163</v>
      </c>
      <c r="B749" s="8">
        <v>12.25</v>
      </c>
      <c r="C749" s="7">
        <f t="shared" si="11"/>
        <v>0.96763780332134175</v>
      </c>
    </row>
    <row r="750" spans="1:3" x14ac:dyDescent="0.3">
      <c r="A750" s="6" t="s">
        <v>1164</v>
      </c>
      <c r="B750" s="8">
        <v>12.25</v>
      </c>
      <c r="C750" s="7">
        <f t="shared" si="11"/>
        <v>0.96763780332134175</v>
      </c>
    </row>
    <row r="751" spans="1:3" x14ac:dyDescent="0.3">
      <c r="A751" s="6" t="s">
        <v>516</v>
      </c>
      <c r="B751" s="8">
        <v>12.25</v>
      </c>
      <c r="C751" s="7">
        <f t="shared" si="11"/>
        <v>0.96763780332134175</v>
      </c>
    </row>
    <row r="752" spans="1:3" x14ac:dyDescent="0.3">
      <c r="A752" s="6" t="s">
        <v>517</v>
      </c>
      <c r="B752" s="8">
        <v>12.25</v>
      </c>
      <c r="C752" s="7">
        <f t="shared" si="11"/>
        <v>0.96763780332134175</v>
      </c>
    </row>
    <row r="753" spans="1:3" x14ac:dyDescent="0.3">
      <c r="A753" s="6" t="s">
        <v>518</v>
      </c>
      <c r="B753" s="8">
        <v>12.25</v>
      </c>
      <c r="C753" s="7">
        <f t="shared" si="11"/>
        <v>0.96763780332134175</v>
      </c>
    </row>
    <row r="754" spans="1:3" x14ac:dyDescent="0.3">
      <c r="A754" s="6" t="s">
        <v>519</v>
      </c>
      <c r="B754" s="8">
        <v>12.25</v>
      </c>
      <c r="C754" s="7">
        <f t="shared" si="11"/>
        <v>0.96763780332134175</v>
      </c>
    </row>
    <row r="755" spans="1:3" x14ac:dyDescent="0.3">
      <c r="A755" s="6" t="s">
        <v>520</v>
      </c>
      <c r="B755" s="8">
        <v>12.25</v>
      </c>
      <c r="C755" s="7">
        <f t="shared" si="11"/>
        <v>0.96763780332134175</v>
      </c>
    </row>
    <row r="756" spans="1:3" x14ac:dyDescent="0.3">
      <c r="A756" s="6" t="s">
        <v>1165</v>
      </c>
      <c r="B756" s="8">
        <v>12.25</v>
      </c>
      <c r="C756" s="7">
        <f t="shared" si="11"/>
        <v>0.96763780332134175</v>
      </c>
    </row>
    <row r="757" spans="1:3" x14ac:dyDescent="0.3">
      <c r="A757" s="6" t="s">
        <v>1166</v>
      </c>
      <c r="B757" s="8">
        <v>12.25</v>
      </c>
      <c r="C757" s="7">
        <f t="shared" si="11"/>
        <v>0.96763780332134175</v>
      </c>
    </row>
    <row r="758" spans="1:3" x14ac:dyDescent="0.3">
      <c r="A758" s="6" t="s">
        <v>521</v>
      </c>
      <c r="B758" s="8">
        <v>12.25</v>
      </c>
      <c r="C758" s="7">
        <f t="shared" si="11"/>
        <v>0.96763780332134175</v>
      </c>
    </row>
    <row r="759" spans="1:3" x14ac:dyDescent="0.3">
      <c r="A759" s="6" t="s">
        <v>522</v>
      </c>
      <c r="B759" s="8">
        <v>12.25</v>
      </c>
      <c r="C759" s="7">
        <f t="shared" si="11"/>
        <v>0.96763780332134175</v>
      </c>
    </row>
    <row r="760" spans="1:3" x14ac:dyDescent="0.3">
      <c r="A760" s="6" t="s">
        <v>523</v>
      </c>
      <c r="B760" s="8">
        <v>12.25</v>
      </c>
      <c r="C760" s="7">
        <f t="shared" si="11"/>
        <v>0.96763780332134175</v>
      </c>
    </row>
    <row r="761" spans="1:3" x14ac:dyDescent="0.3">
      <c r="A761" s="6" t="s">
        <v>524</v>
      </c>
      <c r="B761" s="8">
        <v>12.25</v>
      </c>
      <c r="C761" s="7">
        <f t="shared" si="11"/>
        <v>0.96763780332134175</v>
      </c>
    </row>
    <row r="762" spans="1:3" x14ac:dyDescent="0.3">
      <c r="A762" s="6" t="s">
        <v>525</v>
      </c>
      <c r="B762" s="8">
        <v>12.25</v>
      </c>
      <c r="C762" s="7">
        <f t="shared" si="11"/>
        <v>0.96763780332134175</v>
      </c>
    </row>
    <row r="763" spans="1:3" x14ac:dyDescent="0.3">
      <c r="A763" s="6" t="s">
        <v>1167</v>
      </c>
      <c r="B763" s="8">
        <v>12.25</v>
      </c>
      <c r="C763" s="7">
        <f t="shared" si="11"/>
        <v>0.96763780332134175</v>
      </c>
    </row>
    <row r="764" spans="1:3" x14ac:dyDescent="0.3">
      <c r="A764" s="6" t="s">
        <v>1168</v>
      </c>
      <c r="B764" s="8">
        <v>12.25</v>
      </c>
      <c r="C764" s="7">
        <f t="shared" si="11"/>
        <v>0.96763780332134175</v>
      </c>
    </row>
    <row r="765" spans="1:3" x14ac:dyDescent="0.3">
      <c r="A765" s="6" t="s">
        <v>526</v>
      </c>
      <c r="B765" s="8">
        <v>12.25</v>
      </c>
      <c r="C765" s="7">
        <f t="shared" si="11"/>
        <v>0.96763780332134175</v>
      </c>
    </row>
    <row r="766" spans="1:3" x14ac:dyDescent="0.3">
      <c r="A766" s="6" t="s">
        <v>527</v>
      </c>
      <c r="B766" s="8">
        <v>12.25</v>
      </c>
      <c r="C766" s="7">
        <f t="shared" si="11"/>
        <v>0.96763780332134175</v>
      </c>
    </row>
    <row r="767" spans="1:3" x14ac:dyDescent="0.3">
      <c r="A767" s="6" t="s">
        <v>528</v>
      </c>
      <c r="B767" s="8">
        <v>12.25</v>
      </c>
      <c r="C767" s="7">
        <f t="shared" si="11"/>
        <v>0.96763780332134175</v>
      </c>
    </row>
    <row r="768" spans="1:3" x14ac:dyDescent="0.3">
      <c r="A768" s="6" t="s">
        <v>529</v>
      </c>
      <c r="B768" s="8">
        <v>13.25</v>
      </c>
      <c r="C768" s="7">
        <f t="shared" si="11"/>
        <v>1.0422908867375291</v>
      </c>
    </row>
    <row r="769" spans="1:3" x14ac:dyDescent="0.3">
      <c r="A769" s="6" t="s">
        <v>530</v>
      </c>
      <c r="B769" s="8">
        <v>13.25</v>
      </c>
      <c r="C769" s="7">
        <f t="shared" si="11"/>
        <v>1.0422908867375291</v>
      </c>
    </row>
    <row r="770" spans="1:3" x14ac:dyDescent="0.3">
      <c r="A770" s="6" t="s">
        <v>1169</v>
      </c>
      <c r="B770" s="8">
        <v>13.25</v>
      </c>
      <c r="C770" s="7">
        <f t="shared" si="11"/>
        <v>1.0422908867375291</v>
      </c>
    </row>
    <row r="771" spans="1:3" x14ac:dyDescent="0.3">
      <c r="A771" s="6" t="s">
        <v>1170</v>
      </c>
      <c r="B771" s="8">
        <v>13.25</v>
      </c>
      <c r="C771" s="7">
        <f t="shared" si="11"/>
        <v>1.0422908867375291</v>
      </c>
    </row>
    <row r="772" spans="1:3" x14ac:dyDescent="0.3">
      <c r="A772" s="6" t="s">
        <v>531</v>
      </c>
      <c r="B772" s="8">
        <v>13.25</v>
      </c>
      <c r="C772" s="7">
        <f t="shared" si="11"/>
        <v>1.0422908867375291</v>
      </c>
    </row>
    <row r="773" spans="1:3" x14ac:dyDescent="0.3">
      <c r="A773" s="6" t="s">
        <v>532</v>
      </c>
      <c r="B773" s="8">
        <v>13.25</v>
      </c>
      <c r="C773" s="7">
        <f t="shared" si="11"/>
        <v>1.0422908867375291</v>
      </c>
    </row>
    <row r="774" spans="1:3" x14ac:dyDescent="0.3">
      <c r="A774" s="6" t="s">
        <v>533</v>
      </c>
      <c r="B774" s="8">
        <v>13.25</v>
      </c>
      <c r="C774" s="7">
        <f t="shared" si="11"/>
        <v>1.0422908867375291</v>
      </c>
    </row>
    <row r="775" spans="1:3" x14ac:dyDescent="0.3">
      <c r="A775" s="6" t="s">
        <v>534</v>
      </c>
      <c r="B775" s="8">
        <v>13.25</v>
      </c>
      <c r="C775" s="7">
        <f t="shared" si="11"/>
        <v>1.0422908867375291</v>
      </c>
    </row>
    <row r="776" spans="1:3" x14ac:dyDescent="0.3">
      <c r="A776" s="6" t="s">
        <v>535</v>
      </c>
      <c r="B776" s="8">
        <v>13.25</v>
      </c>
      <c r="C776" s="7">
        <f t="shared" ref="C776:C839" si="12">((1+B776/100)^(1/12)-1)*100</f>
        <v>1.0422908867375291</v>
      </c>
    </row>
    <row r="777" spans="1:3" x14ac:dyDescent="0.3">
      <c r="A777" s="6" t="s">
        <v>1171</v>
      </c>
      <c r="B777" s="8">
        <v>13.25</v>
      </c>
      <c r="C777" s="7">
        <f t="shared" si="12"/>
        <v>1.0422908867375291</v>
      </c>
    </row>
    <row r="778" spans="1:3" x14ac:dyDescent="0.3">
      <c r="A778" s="6" t="s">
        <v>1172</v>
      </c>
      <c r="B778" s="8">
        <v>13.25</v>
      </c>
      <c r="C778" s="7">
        <f t="shared" si="12"/>
        <v>1.0422908867375291</v>
      </c>
    </row>
    <row r="779" spans="1:3" x14ac:dyDescent="0.3">
      <c r="A779" s="6" t="s">
        <v>536</v>
      </c>
      <c r="B779" s="8">
        <v>13.25</v>
      </c>
      <c r="C779" s="7">
        <f t="shared" si="12"/>
        <v>1.0422908867375291</v>
      </c>
    </row>
    <row r="780" spans="1:3" x14ac:dyDescent="0.3">
      <c r="A780" s="6" t="s">
        <v>537</v>
      </c>
      <c r="B780" s="8">
        <v>13.25</v>
      </c>
      <c r="C780" s="7">
        <f t="shared" si="12"/>
        <v>1.0422908867375291</v>
      </c>
    </row>
    <row r="781" spans="1:3" x14ac:dyDescent="0.3">
      <c r="A781" s="6" t="s">
        <v>538</v>
      </c>
      <c r="B781" s="8">
        <v>13.25</v>
      </c>
      <c r="C781" s="7">
        <f t="shared" si="12"/>
        <v>1.0422908867375291</v>
      </c>
    </row>
    <row r="782" spans="1:3" x14ac:dyDescent="0.3">
      <c r="A782" s="6" t="s">
        <v>539</v>
      </c>
      <c r="B782" s="8">
        <v>13.25</v>
      </c>
      <c r="C782" s="7">
        <f t="shared" si="12"/>
        <v>1.0422908867375291</v>
      </c>
    </row>
    <row r="783" spans="1:3" x14ac:dyDescent="0.3">
      <c r="A783" s="6" t="s">
        <v>540</v>
      </c>
      <c r="B783" s="8">
        <v>13.25</v>
      </c>
      <c r="C783" s="7">
        <f t="shared" si="12"/>
        <v>1.0422908867375291</v>
      </c>
    </row>
    <row r="784" spans="1:3" x14ac:dyDescent="0.3">
      <c r="A784" s="6" t="s">
        <v>1173</v>
      </c>
      <c r="B784" s="8">
        <v>13.25</v>
      </c>
      <c r="C784" s="7">
        <f t="shared" si="12"/>
        <v>1.0422908867375291</v>
      </c>
    </row>
    <row r="785" spans="1:3" x14ac:dyDescent="0.3">
      <c r="A785" s="6" t="s">
        <v>1174</v>
      </c>
      <c r="B785" s="8">
        <v>13.25</v>
      </c>
      <c r="C785" s="7">
        <f t="shared" si="12"/>
        <v>1.0422908867375291</v>
      </c>
    </row>
    <row r="786" spans="1:3" x14ac:dyDescent="0.3">
      <c r="A786" s="6" t="s">
        <v>541</v>
      </c>
      <c r="B786" s="8">
        <v>13.25</v>
      </c>
      <c r="C786" s="7">
        <f t="shared" si="12"/>
        <v>1.0422908867375291</v>
      </c>
    </row>
    <row r="787" spans="1:3" x14ac:dyDescent="0.3">
      <c r="A787" s="6" t="s">
        <v>542</v>
      </c>
      <c r="B787" s="8">
        <v>13.25</v>
      </c>
      <c r="C787" s="7">
        <f t="shared" si="12"/>
        <v>1.0422908867375291</v>
      </c>
    </row>
    <row r="788" spans="1:3" x14ac:dyDescent="0.3">
      <c r="A788" s="6" t="s">
        <v>543</v>
      </c>
      <c r="B788" s="8">
        <v>13.25</v>
      </c>
      <c r="C788" s="7">
        <f t="shared" si="12"/>
        <v>1.0422908867375291</v>
      </c>
    </row>
    <row r="789" spans="1:3" x14ac:dyDescent="0.3">
      <c r="A789" s="6" t="s">
        <v>544</v>
      </c>
      <c r="B789" s="8">
        <v>13.25</v>
      </c>
      <c r="C789" s="7">
        <f t="shared" si="12"/>
        <v>1.0422908867375291</v>
      </c>
    </row>
    <row r="790" spans="1:3" x14ac:dyDescent="0.3">
      <c r="A790" s="6" t="s">
        <v>545</v>
      </c>
      <c r="B790" s="8">
        <v>13.25</v>
      </c>
      <c r="C790" s="7">
        <f t="shared" si="12"/>
        <v>1.0422908867375291</v>
      </c>
    </row>
    <row r="791" spans="1:3" x14ac:dyDescent="0.3">
      <c r="A791" s="6" t="s">
        <v>1175</v>
      </c>
      <c r="B791" s="8">
        <v>13.25</v>
      </c>
      <c r="C791" s="7">
        <f t="shared" si="12"/>
        <v>1.0422908867375291</v>
      </c>
    </row>
    <row r="792" spans="1:3" x14ac:dyDescent="0.3">
      <c r="A792" s="6" t="s">
        <v>1176</v>
      </c>
      <c r="B792" s="8">
        <v>13.25</v>
      </c>
      <c r="C792" s="7">
        <f t="shared" si="12"/>
        <v>1.0422908867375291</v>
      </c>
    </row>
    <row r="793" spans="1:3" x14ac:dyDescent="0.3">
      <c r="A793" s="6" t="s">
        <v>546</v>
      </c>
      <c r="B793" s="8">
        <v>13.25</v>
      </c>
      <c r="C793" s="7">
        <f t="shared" si="12"/>
        <v>1.0422908867375291</v>
      </c>
    </row>
    <row r="794" spans="1:3" x14ac:dyDescent="0.3">
      <c r="A794" s="6" t="s">
        <v>547</v>
      </c>
      <c r="B794" s="8">
        <v>13.25</v>
      </c>
      <c r="C794" s="7">
        <f t="shared" si="12"/>
        <v>1.0422908867375291</v>
      </c>
    </row>
    <row r="795" spans="1:3" x14ac:dyDescent="0.3">
      <c r="A795" s="6" t="s">
        <v>548</v>
      </c>
      <c r="B795" s="8">
        <v>13.25</v>
      </c>
      <c r="C795" s="7">
        <f t="shared" si="12"/>
        <v>1.0422908867375291</v>
      </c>
    </row>
    <row r="796" spans="1:3" x14ac:dyDescent="0.3">
      <c r="A796" s="6" t="s">
        <v>549</v>
      </c>
      <c r="B796" s="8">
        <v>13.25</v>
      </c>
      <c r="C796" s="7">
        <f t="shared" si="12"/>
        <v>1.0422908867375291</v>
      </c>
    </row>
    <row r="797" spans="1:3" x14ac:dyDescent="0.3">
      <c r="A797" s="6" t="s">
        <v>550</v>
      </c>
      <c r="B797" s="8">
        <v>13.25</v>
      </c>
      <c r="C797" s="7">
        <f t="shared" si="12"/>
        <v>1.0422908867375291</v>
      </c>
    </row>
    <row r="798" spans="1:3" x14ac:dyDescent="0.3">
      <c r="A798" s="6" t="s">
        <v>1177</v>
      </c>
      <c r="B798" s="8">
        <v>13.25</v>
      </c>
      <c r="C798" s="7">
        <f t="shared" si="12"/>
        <v>1.0422908867375291</v>
      </c>
    </row>
    <row r="799" spans="1:3" x14ac:dyDescent="0.3">
      <c r="A799" s="6" t="s">
        <v>1178</v>
      </c>
      <c r="B799" s="8">
        <v>13.25</v>
      </c>
      <c r="C799" s="7">
        <f t="shared" si="12"/>
        <v>1.0422908867375291</v>
      </c>
    </row>
    <row r="800" spans="1:3" x14ac:dyDescent="0.3">
      <c r="A800" s="6" t="s">
        <v>1179</v>
      </c>
      <c r="B800" s="8">
        <v>13.25</v>
      </c>
      <c r="C800" s="7">
        <f t="shared" si="12"/>
        <v>1.0422908867375291</v>
      </c>
    </row>
    <row r="801" spans="1:3" x14ac:dyDescent="0.3">
      <c r="A801" s="6" t="s">
        <v>1180</v>
      </c>
      <c r="B801" s="8">
        <v>13.25</v>
      </c>
      <c r="C801" s="7">
        <f t="shared" si="12"/>
        <v>1.0422908867375291</v>
      </c>
    </row>
    <row r="802" spans="1:3" x14ac:dyDescent="0.3">
      <c r="A802" s="6" t="s">
        <v>551</v>
      </c>
      <c r="B802" s="8">
        <v>13.25</v>
      </c>
      <c r="C802" s="7">
        <f t="shared" si="12"/>
        <v>1.0422908867375291</v>
      </c>
    </row>
    <row r="803" spans="1:3" x14ac:dyDescent="0.3">
      <c r="A803" s="6" t="s">
        <v>552</v>
      </c>
      <c r="B803" s="8">
        <v>13.25</v>
      </c>
      <c r="C803" s="7">
        <f t="shared" si="12"/>
        <v>1.0422908867375291</v>
      </c>
    </row>
    <row r="804" spans="1:3" x14ac:dyDescent="0.3">
      <c r="A804" s="6" t="s">
        <v>553</v>
      </c>
      <c r="B804" s="8">
        <v>13.25</v>
      </c>
      <c r="C804" s="7">
        <f t="shared" si="12"/>
        <v>1.0422908867375291</v>
      </c>
    </row>
    <row r="805" spans="1:3" x14ac:dyDescent="0.3">
      <c r="A805" s="6" t="s">
        <v>1181</v>
      </c>
      <c r="B805" s="8">
        <v>13.25</v>
      </c>
      <c r="C805" s="7">
        <f t="shared" si="12"/>
        <v>1.0422908867375291</v>
      </c>
    </row>
    <row r="806" spans="1:3" x14ac:dyDescent="0.3">
      <c r="A806" s="6" t="s">
        <v>1182</v>
      </c>
      <c r="B806" s="8">
        <v>13.25</v>
      </c>
      <c r="C806" s="7">
        <f t="shared" si="12"/>
        <v>1.0422908867375291</v>
      </c>
    </row>
    <row r="807" spans="1:3" x14ac:dyDescent="0.3">
      <c r="A807" s="6" t="s">
        <v>554</v>
      </c>
      <c r="B807" s="8">
        <v>13.25</v>
      </c>
      <c r="C807" s="7">
        <f t="shared" si="12"/>
        <v>1.0422908867375291</v>
      </c>
    </row>
    <row r="808" spans="1:3" x14ac:dyDescent="0.3">
      <c r="A808" s="6" t="s">
        <v>555</v>
      </c>
      <c r="B808" s="8">
        <v>13.25</v>
      </c>
      <c r="C808" s="7">
        <f t="shared" si="12"/>
        <v>1.0422908867375291</v>
      </c>
    </row>
    <row r="809" spans="1:3" x14ac:dyDescent="0.3">
      <c r="A809" s="6" t="s">
        <v>556</v>
      </c>
      <c r="B809" s="8">
        <v>13.25</v>
      </c>
      <c r="C809" s="7">
        <f t="shared" si="12"/>
        <v>1.0422908867375291</v>
      </c>
    </row>
    <row r="810" spans="1:3" x14ac:dyDescent="0.3">
      <c r="A810" s="6" t="s">
        <v>557</v>
      </c>
      <c r="B810" s="8">
        <v>13.25</v>
      </c>
      <c r="C810" s="7">
        <f t="shared" si="12"/>
        <v>1.0422908867375291</v>
      </c>
    </row>
    <row r="811" spans="1:3" x14ac:dyDescent="0.3">
      <c r="A811" s="6" t="s">
        <v>558</v>
      </c>
      <c r="B811" s="8">
        <v>13.25</v>
      </c>
      <c r="C811" s="7">
        <f t="shared" si="12"/>
        <v>1.0422908867375291</v>
      </c>
    </row>
    <row r="812" spans="1:3" x14ac:dyDescent="0.3">
      <c r="A812" s="6" t="s">
        <v>1183</v>
      </c>
      <c r="B812" s="8">
        <v>13.25</v>
      </c>
      <c r="C812" s="7">
        <f t="shared" si="12"/>
        <v>1.0422908867375291</v>
      </c>
    </row>
    <row r="813" spans="1:3" x14ac:dyDescent="0.3">
      <c r="A813" s="6" t="s">
        <v>1184</v>
      </c>
      <c r="B813" s="8">
        <v>13.25</v>
      </c>
      <c r="C813" s="7">
        <f t="shared" si="12"/>
        <v>1.0422908867375291</v>
      </c>
    </row>
    <row r="814" spans="1:3" x14ac:dyDescent="0.3">
      <c r="A814" s="6" t="s">
        <v>559</v>
      </c>
      <c r="B814" s="8">
        <v>13.25</v>
      </c>
      <c r="C814" s="7">
        <f t="shared" si="12"/>
        <v>1.0422908867375291</v>
      </c>
    </row>
    <row r="815" spans="1:3" x14ac:dyDescent="0.3">
      <c r="A815" s="6" t="s">
        <v>560</v>
      </c>
      <c r="B815" s="8">
        <v>13.25</v>
      </c>
      <c r="C815" s="7">
        <f t="shared" si="12"/>
        <v>1.0422908867375291</v>
      </c>
    </row>
    <row r="816" spans="1:3" x14ac:dyDescent="0.3">
      <c r="A816" s="6" t="s">
        <v>561</v>
      </c>
      <c r="B816" s="8">
        <v>13.25</v>
      </c>
      <c r="C816" s="7">
        <f t="shared" si="12"/>
        <v>1.0422908867375291</v>
      </c>
    </row>
    <row r="817" spans="1:3" x14ac:dyDescent="0.3">
      <c r="A817" s="6" t="s">
        <v>562</v>
      </c>
      <c r="B817" s="8">
        <v>14.25</v>
      </c>
      <c r="C817" s="7">
        <f t="shared" si="12"/>
        <v>1.1163421416801933</v>
      </c>
    </row>
    <row r="818" spans="1:3" x14ac:dyDescent="0.3">
      <c r="A818" s="6" t="s">
        <v>563</v>
      </c>
      <c r="B818" s="8">
        <v>14.25</v>
      </c>
      <c r="C818" s="7">
        <f t="shared" si="12"/>
        <v>1.1163421416801933</v>
      </c>
    </row>
    <row r="819" spans="1:3" x14ac:dyDescent="0.3">
      <c r="A819" s="6" t="s">
        <v>1185</v>
      </c>
      <c r="B819" s="8">
        <v>14.25</v>
      </c>
      <c r="C819" s="7">
        <f t="shared" si="12"/>
        <v>1.1163421416801933</v>
      </c>
    </row>
    <row r="820" spans="1:3" x14ac:dyDescent="0.3">
      <c r="A820" s="6" t="s">
        <v>1186</v>
      </c>
      <c r="B820" s="8">
        <v>14.25</v>
      </c>
      <c r="C820" s="7">
        <f t="shared" si="12"/>
        <v>1.1163421416801933</v>
      </c>
    </row>
    <row r="821" spans="1:3" x14ac:dyDescent="0.3">
      <c r="A821" s="6" t="s">
        <v>564</v>
      </c>
      <c r="B821" s="8">
        <v>14.25</v>
      </c>
      <c r="C821" s="7">
        <f t="shared" si="12"/>
        <v>1.1163421416801933</v>
      </c>
    </row>
    <row r="822" spans="1:3" x14ac:dyDescent="0.3">
      <c r="A822" s="6" t="s">
        <v>565</v>
      </c>
      <c r="B822" s="8">
        <v>14.25</v>
      </c>
      <c r="C822" s="7">
        <f t="shared" si="12"/>
        <v>1.1163421416801933</v>
      </c>
    </row>
    <row r="823" spans="1:3" x14ac:dyDescent="0.3">
      <c r="A823" s="6" t="s">
        <v>566</v>
      </c>
      <c r="B823" s="8">
        <v>14.25</v>
      </c>
      <c r="C823" s="7">
        <f t="shared" si="12"/>
        <v>1.1163421416801933</v>
      </c>
    </row>
    <row r="824" spans="1:3" x14ac:dyDescent="0.3">
      <c r="A824" s="6" t="s">
        <v>567</v>
      </c>
      <c r="B824" s="8">
        <v>14.25</v>
      </c>
      <c r="C824" s="7">
        <f t="shared" si="12"/>
        <v>1.1163421416801933</v>
      </c>
    </row>
    <row r="825" spans="1:3" x14ac:dyDescent="0.3">
      <c r="A825" s="6" t="s">
        <v>568</v>
      </c>
      <c r="B825" s="8">
        <v>14.25</v>
      </c>
      <c r="C825" s="7">
        <f t="shared" si="12"/>
        <v>1.1163421416801933</v>
      </c>
    </row>
    <row r="826" spans="1:3" x14ac:dyDescent="0.3">
      <c r="A826" s="6" t="s">
        <v>1187</v>
      </c>
      <c r="B826" s="8">
        <v>14.25</v>
      </c>
      <c r="C826" s="7">
        <f t="shared" si="12"/>
        <v>1.1163421416801933</v>
      </c>
    </row>
    <row r="827" spans="1:3" x14ac:dyDescent="0.3">
      <c r="A827" s="6" t="s">
        <v>1188</v>
      </c>
      <c r="B827" s="8">
        <v>14.25</v>
      </c>
      <c r="C827" s="7">
        <f t="shared" si="12"/>
        <v>1.1163421416801933</v>
      </c>
    </row>
    <row r="828" spans="1:3" x14ac:dyDescent="0.3">
      <c r="A828" s="6" t="s">
        <v>569</v>
      </c>
      <c r="B828" s="8">
        <v>14.25</v>
      </c>
      <c r="C828" s="7">
        <f t="shared" si="12"/>
        <v>1.1163421416801933</v>
      </c>
    </row>
    <row r="829" spans="1:3" x14ac:dyDescent="0.3">
      <c r="A829" s="6" t="s">
        <v>570</v>
      </c>
      <c r="B829" s="8">
        <v>14.25</v>
      </c>
      <c r="C829" s="7">
        <f t="shared" si="12"/>
        <v>1.1163421416801933</v>
      </c>
    </row>
    <row r="830" spans="1:3" x14ac:dyDescent="0.3">
      <c r="A830" s="6" t="s">
        <v>571</v>
      </c>
      <c r="B830" s="8">
        <v>14.25</v>
      </c>
      <c r="C830" s="7">
        <f t="shared" si="12"/>
        <v>1.1163421416801933</v>
      </c>
    </row>
    <row r="831" spans="1:3" x14ac:dyDescent="0.3">
      <c r="A831" s="6" t="s">
        <v>572</v>
      </c>
      <c r="B831" s="8">
        <v>14.25</v>
      </c>
      <c r="C831" s="7">
        <f t="shared" si="12"/>
        <v>1.1163421416801933</v>
      </c>
    </row>
    <row r="832" spans="1:3" x14ac:dyDescent="0.3">
      <c r="A832" s="6" t="s">
        <v>573</v>
      </c>
      <c r="B832" s="8">
        <v>14.25</v>
      </c>
      <c r="C832" s="7">
        <f t="shared" si="12"/>
        <v>1.1163421416801933</v>
      </c>
    </row>
    <row r="833" spans="1:3" x14ac:dyDescent="0.3">
      <c r="A833" s="6" t="s">
        <v>1189</v>
      </c>
      <c r="B833" s="8">
        <v>14.25</v>
      </c>
      <c r="C833" s="7">
        <f t="shared" si="12"/>
        <v>1.1163421416801933</v>
      </c>
    </row>
    <row r="834" spans="1:3" x14ac:dyDescent="0.3">
      <c r="A834" s="6" t="s">
        <v>1190</v>
      </c>
      <c r="B834" s="8">
        <v>14.25</v>
      </c>
      <c r="C834" s="7">
        <f t="shared" si="12"/>
        <v>1.1163421416801933</v>
      </c>
    </row>
    <row r="835" spans="1:3" x14ac:dyDescent="0.3">
      <c r="A835" s="6" t="s">
        <v>574</v>
      </c>
      <c r="B835" s="8">
        <v>14.25</v>
      </c>
      <c r="C835" s="7">
        <f t="shared" si="12"/>
        <v>1.1163421416801933</v>
      </c>
    </row>
    <row r="836" spans="1:3" x14ac:dyDescent="0.3">
      <c r="A836" s="6" t="s">
        <v>575</v>
      </c>
      <c r="B836" s="8">
        <v>14.25</v>
      </c>
      <c r="C836" s="7">
        <f t="shared" si="12"/>
        <v>1.1163421416801933</v>
      </c>
    </row>
    <row r="837" spans="1:3" x14ac:dyDescent="0.3">
      <c r="A837" s="6" t="s">
        <v>576</v>
      </c>
      <c r="B837" s="8">
        <v>14.25</v>
      </c>
      <c r="C837" s="7">
        <f t="shared" si="12"/>
        <v>1.1163421416801933</v>
      </c>
    </row>
    <row r="838" spans="1:3" x14ac:dyDescent="0.3">
      <c r="A838" s="6" t="s">
        <v>577</v>
      </c>
      <c r="B838" s="8">
        <v>14.25</v>
      </c>
      <c r="C838" s="7">
        <f t="shared" si="12"/>
        <v>1.1163421416801933</v>
      </c>
    </row>
    <row r="839" spans="1:3" x14ac:dyDescent="0.3">
      <c r="A839" s="6" t="s">
        <v>578</v>
      </c>
      <c r="B839" s="8">
        <v>14.25</v>
      </c>
      <c r="C839" s="7">
        <f t="shared" si="12"/>
        <v>1.1163421416801933</v>
      </c>
    </row>
    <row r="840" spans="1:3" x14ac:dyDescent="0.3">
      <c r="A840" s="6" t="s">
        <v>1191</v>
      </c>
      <c r="B840" s="8">
        <v>14.25</v>
      </c>
      <c r="C840" s="7">
        <f t="shared" ref="C840:C903" si="13">((1+B840/100)^(1/12)-1)*100</f>
        <v>1.1163421416801933</v>
      </c>
    </row>
    <row r="841" spans="1:3" x14ac:dyDescent="0.3">
      <c r="A841" s="6" t="s">
        <v>1192</v>
      </c>
      <c r="B841" s="8">
        <v>14.25</v>
      </c>
      <c r="C841" s="7">
        <f t="shared" si="13"/>
        <v>1.1163421416801933</v>
      </c>
    </row>
    <row r="842" spans="1:3" x14ac:dyDescent="0.3">
      <c r="A842" s="6" t="s">
        <v>579</v>
      </c>
      <c r="B842" s="8">
        <v>14.25</v>
      </c>
      <c r="C842" s="7">
        <f t="shared" si="13"/>
        <v>1.1163421416801933</v>
      </c>
    </row>
    <row r="843" spans="1:3" x14ac:dyDescent="0.3">
      <c r="A843" s="6" t="s">
        <v>580</v>
      </c>
      <c r="B843" s="8">
        <v>14.25</v>
      </c>
      <c r="C843" s="7">
        <f t="shared" si="13"/>
        <v>1.1163421416801933</v>
      </c>
    </row>
    <row r="844" spans="1:3" x14ac:dyDescent="0.3">
      <c r="A844" s="6" t="s">
        <v>581</v>
      </c>
      <c r="B844" s="8">
        <v>14.25</v>
      </c>
      <c r="C844" s="7">
        <f t="shared" si="13"/>
        <v>1.1163421416801933</v>
      </c>
    </row>
    <row r="845" spans="1:3" x14ac:dyDescent="0.3">
      <c r="A845" s="6" t="s">
        <v>582</v>
      </c>
      <c r="B845" s="8">
        <v>14.25</v>
      </c>
      <c r="C845" s="7">
        <f t="shared" si="13"/>
        <v>1.1163421416801933</v>
      </c>
    </row>
    <row r="846" spans="1:3" x14ac:dyDescent="0.3">
      <c r="A846" s="6" t="s">
        <v>1193</v>
      </c>
      <c r="B846" s="8">
        <v>14.25</v>
      </c>
      <c r="C846" s="7">
        <f t="shared" si="13"/>
        <v>1.1163421416801933</v>
      </c>
    </row>
    <row r="847" spans="1:3" x14ac:dyDescent="0.3">
      <c r="A847" s="6" t="s">
        <v>1194</v>
      </c>
      <c r="B847" s="8">
        <v>14.25</v>
      </c>
      <c r="C847" s="7">
        <f t="shared" si="13"/>
        <v>1.1163421416801933</v>
      </c>
    </row>
    <row r="848" spans="1:3" x14ac:dyDescent="0.3">
      <c r="A848" s="6" t="s">
        <v>1195</v>
      </c>
      <c r="B848" s="8">
        <v>14.25</v>
      </c>
      <c r="C848" s="7">
        <f t="shared" si="13"/>
        <v>1.1163421416801933</v>
      </c>
    </row>
    <row r="849" spans="1:3" x14ac:dyDescent="0.3">
      <c r="A849" s="6" t="s">
        <v>1196</v>
      </c>
      <c r="B849" s="8">
        <v>14.25</v>
      </c>
      <c r="C849" s="7">
        <f t="shared" si="13"/>
        <v>1.1163421416801933</v>
      </c>
    </row>
    <row r="850" spans="1:3" x14ac:dyDescent="0.3">
      <c r="A850" s="6" t="s">
        <v>583</v>
      </c>
      <c r="B850" s="8">
        <v>14.25</v>
      </c>
      <c r="C850" s="7">
        <f t="shared" si="13"/>
        <v>1.1163421416801933</v>
      </c>
    </row>
    <row r="851" spans="1:3" x14ac:dyDescent="0.3">
      <c r="A851" s="6" t="s">
        <v>584</v>
      </c>
      <c r="B851" s="8">
        <v>14.25</v>
      </c>
      <c r="C851" s="7">
        <f t="shared" si="13"/>
        <v>1.1163421416801933</v>
      </c>
    </row>
    <row r="852" spans="1:3" x14ac:dyDescent="0.3">
      <c r="A852" s="6" t="s">
        <v>585</v>
      </c>
      <c r="B852" s="8">
        <v>14.25</v>
      </c>
      <c r="C852" s="7">
        <f t="shared" si="13"/>
        <v>1.1163421416801933</v>
      </c>
    </row>
    <row r="853" spans="1:3" x14ac:dyDescent="0.3">
      <c r="A853" s="6" t="s">
        <v>586</v>
      </c>
      <c r="B853" s="8">
        <v>14.25</v>
      </c>
      <c r="C853" s="7">
        <f t="shared" si="13"/>
        <v>1.1163421416801933</v>
      </c>
    </row>
    <row r="854" spans="1:3" x14ac:dyDescent="0.3">
      <c r="A854" s="6" t="s">
        <v>1197</v>
      </c>
      <c r="B854" s="8">
        <v>14.25</v>
      </c>
      <c r="C854" s="7">
        <f t="shared" si="13"/>
        <v>1.1163421416801933</v>
      </c>
    </row>
    <row r="855" spans="1:3" x14ac:dyDescent="0.3">
      <c r="A855" s="6" t="s">
        <v>1198</v>
      </c>
      <c r="B855" s="8">
        <v>14.25</v>
      </c>
      <c r="C855" s="7">
        <f t="shared" si="13"/>
        <v>1.1163421416801933</v>
      </c>
    </row>
    <row r="856" spans="1:3" x14ac:dyDescent="0.3">
      <c r="A856" s="6" t="s">
        <v>587</v>
      </c>
      <c r="B856" s="8">
        <v>14.25</v>
      </c>
      <c r="C856" s="7">
        <f t="shared" si="13"/>
        <v>1.1163421416801933</v>
      </c>
    </row>
    <row r="857" spans="1:3" x14ac:dyDescent="0.3">
      <c r="A857" s="6" t="s">
        <v>588</v>
      </c>
      <c r="B857" s="8">
        <v>14.25</v>
      </c>
      <c r="C857" s="7">
        <f t="shared" si="13"/>
        <v>1.1163421416801933</v>
      </c>
    </row>
    <row r="858" spans="1:3" x14ac:dyDescent="0.3">
      <c r="A858" s="6" t="s">
        <v>589</v>
      </c>
      <c r="B858" s="8">
        <v>14.25</v>
      </c>
      <c r="C858" s="7">
        <f t="shared" si="13"/>
        <v>1.1163421416801933</v>
      </c>
    </row>
    <row r="859" spans="1:3" x14ac:dyDescent="0.3">
      <c r="A859" s="6" t="s">
        <v>1199</v>
      </c>
      <c r="B859" s="8">
        <v>14.25</v>
      </c>
      <c r="C859" s="7">
        <f t="shared" si="13"/>
        <v>1.1163421416801933</v>
      </c>
    </row>
    <row r="860" spans="1:3" x14ac:dyDescent="0.3">
      <c r="A860" s="6" t="s">
        <v>590</v>
      </c>
      <c r="B860" s="8">
        <v>14.25</v>
      </c>
      <c r="C860" s="7">
        <f t="shared" si="13"/>
        <v>1.1163421416801933</v>
      </c>
    </row>
    <row r="861" spans="1:3" x14ac:dyDescent="0.3">
      <c r="A861" s="6" t="s">
        <v>1200</v>
      </c>
      <c r="B861" s="8">
        <v>14.25</v>
      </c>
      <c r="C861" s="7">
        <f t="shared" si="13"/>
        <v>1.1163421416801933</v>
      </c>
    </row>
    <row r="862" spans="1:3" x14ac:dyDescent="0.3">
      <c r="A862" s="6" t="s">
        <v>1201</v>
      </c>
      <c r="B862" s="8">
        <v>14.25</v>
      </c>
      <c r="C862" s="7">
        <f t="shared" si="13"/>
        <v>1.1163421416801933</v>
      </c>
    </row>
    <row r="863" spans="1:3" x14ac:dyDescent="0.3">
      <c r="A863" s="6" t="s">
        <v>591</v>
      </c>
      <c r="B863" s="8">
        <v>14.25</v>
      </c>
      <c r="C863" s="7">
        <f t="shared" si="13"/>
        <v>1.1163421416801933</v>
      </c>
    </row>
    <row r="864" spans="1:3" x14ac:dyDescent="0.3">
      <c r="A864" s="6" t="s">
        <v>592</v>
      </c>
      <c r="B864" s="8">
        <v>14.25</v>
      </c>
      <c r="C864" s="7">
        <f t="shared" si="13"/>
        <v>1.1163421416801933</v>
      </c>
    </row>
    <row r="865" spans="1:3" x14ac:dyDescent="0.3">
      <c r="A865" s="6" t="s">
        <v>593</v>
      </c>
      <c r="B865" s="8">
        <v>14.25</v>
      </c>
      <c r="C865" s="7">
        <f t="shared" si="13"/>
        <v>1.1163421416801933</v>
      </c>
    </row>
    <row r="866" spans="1:3" x14ac:dyDescent="0.3">
      <c r="A866" s="6" t="s">
        <v>594</v>
      </c>
      <c r="B866" s="8">
        <v>14.75</v>
      </c>
      <c r="C866" s="7">
        <f t="shared" si="13"/>
        <v>1.1531452360343364</v>
      </c>
    </row>
    <row r="867" spans="1:3" x14ac:dyDescent="0.3">
      <c r="A867" s="6" t="s">
        <v>595</v>
      </c>
      <c r="B867" s="8">
        <v>14.75</v>
      </c>
      <c r="C867" s="7">
        <f t="shared" si="13"/>
        <v>1.1531452360343364</v>
      </c>
    </row>
    <row r="868" spans="1:3" x14ac:dyDescent="0.3">
      <c r="A868" s="6" t="s">
        <v>1202</v>
      </c>
      <c r="B868" s="8">
        <v>14.75</v>
      </c>
      <c r="C868" s="7">
        <f t="shared" si="13"/>
        <v>1.1531452360343364</v>
      </c>
    </row>
    <row r="869" spans="1:3" x14ac:dyDescent="0.3">
      <c r="A869" s="6" t="s">
        <v>1203</v>
      </c>
      <c r="B869" s="8">
        <v>14.75</v>
      </c>
      <c r="C869" s="7">
        <f t="shared" si="13"/>
        <v>1.1531452360343364</v>
      </c>
    </row>
    <row r="870" spans="1:3" x14ac:dyDescent="0.3">
      <c r="A870" s="6" t="s">
        <v>596</v>
      </c>
      <c r="B870" s="8">
        <v>14.75</v>
      </c>
      <c r="C870" s="7">
        <f t="shared" si="13"/>
        <v>1.1531452360343364</v>
      </c>
    </row>
    <row r="871" spans="1:3" x14ac:dyDescent="0.3">
      <c r="A871" s="6" t="s">
        <v>597</v>
      </c>
      <c r="B871" s="8">
        <v>14.75</v>
      </c>
      <c r="C871" s="7">
        <f t="shared" si="13"/>
        <v>1.1531452360343364</v>
      </c>
    </row>
    <row r="872" spans="1:3" x14ac:dyDescent="0.3">
      <c r="A872" s="6" t="s">
        <v>598</v>
      </c>
      <c r="B872" s="8">
        <v>14.75</v>
      </c>
      <c r="C872" s="7">
        <f t="shared" si="13"/>
        <v>1.1531452360343364</v>
      </c>
    </row>
    <row r="873" spans="1:3" x14ac:dyDescent="0.3">
      <c r="A873" s="6" t="s">
        <v>599</v>
      </c>
      <c r="B873" s="8">
        <v>14.75</v>
      </c>
      <c r="C873" s="7">
        <f t="shared" si="13"/>
        <v>1.1531452360343364</v>
      </c>
    </row>
    <row r="874" spans="1:3" x14ac:dyDescent="0.3">
      <c r="A874" s="6" t="s">
        <v>600</v>
      </c>
      <c r="B874" s="8">
        <v>14.75</v>
      </c>
      <c r="C874" s="7">
        <f t="shared" si="13"/>
        <v>1.1531452360343364</v>
      </c>
    </row>
    <row r="875" spans="1:3" x14ac:dyDescent="0.3">
      <c r="A875" s="6" t="s">
        <v>1204</v>
      </c>
      <c r="B875" s="8">
        <v>14.75</v>
      </c>
      <c r="C875" s="7">
        <f t="shared" si="13"/>
        <v>1.1531452360343364</v>
      </c>
    </row>
    <row r="876" spans="1:3" x14ac:dyDescent="0.3">
      <c r="A876" s="6" t="s">
        <v>1205</v>
      </c>
      <c r="B876" s="8">
        <v>14.75</v>
      </c>
      <c r="C876" s="7">
        <f t="shared" si="13"/>
        <v>1.1531452360343364</v>
      </c>
    </row>
    <row r="877" spans="1:3" x14ac:dyDescent="0.3">
      <c r="A877" s="6" t="s">
        <v>601</v>
      </c>
      <c r="B877" s="8">
        <v>14.75</v>
      </c>
      <c r="C877" s="7">
        <f t="shared" si="13"/>
        <v>1.1531452360343364</v>
      </c>
    </row>
    <row r="878" spans="1:3" x14ac:dyDescent="0.3">
      <c r="A878" s="6" t="s">
        <v>602</v>
      </c>
      <c r="B878" s="8">
        <v>14.75</v>
      </c>
      <c r="C878" s="7">
        <f t="shared" si="13"/>
        <v>1.1531452360343364</v>
      </c>
    </row>
    <row r="879" spans="1:3" x14ac:dyDescent="0.3">
      <c r="A879" s="6" t="s">
        <v>603</v>
      </c>
      <c r="B879" s="8">
        <v>14.75</v>
      </c>
      <c r="C879" s="7">
        <f t="shared" si="13"/>
        <v>1.1531452360343364</v>
      </c>
    </row>
    <row r="880" spans="1:3" x14ac:dyDescent="0.3">
      <c r="A880" s="6" t="s">
        <v>604</v>
      </c>
      <c r="B880" s="8">
        <v>14.75</v>
      </c>
      <c r="C880" s="7">
        <f t="shared" si="13"/>
        <v>1.1531452360343364</v>
      </c>
    </row>
    <row r="881" spans="1:3" x14ac:dyDescent="0.3">
      <c r="A881" s="6" t="s">
        <v>605</v>
      </c>
      <c r="B881" s="8">
        <v>14.75</v>
      </c>
      <c r="C881" s="7">
        <f t="shared" si="13"/>
        <v>1.1531452360343364</v>
      </c>
    </row>
    <row r="882" spans="1:3" x14ac:dyDescent="0.3">
      <c r="A882" s="6" t="s">
        <v>1206</v>
      </c>
      <c r="B882" s="8">
        <v>14.75</v>
      </c>
      <c r="C882" s="7">
        <f t="shared" si="13"/>
        <v>1.1531452360343364</v>
      </c>
    </row>
    <row r="883" spans="1:3" x14ac:dyDescent="0.3">
      <c r="A883" s="6" t="s">
        <v>1207</v>
      </c>
      <c r="B883" s="8">
        <v>14.75</v>
      </c>
      <c r="C883" s="7">
        <f t="shared" si="13"/>
        <v>1.1531452360343364</v>
      </c>
    </row>
    <row r="884" spans="1:3" x14ac:dyDescent="0.3">
      <c r="A884" s="6" t="s">
        <v>606</v>
      </c>
      <c r="B884" s="8">
        <v>14.75</v>
      </c>
      <c r="C884" s="7">
        <f t="shared" si="13"/>
        <v>1.1531452360343364</v>
      </c>
    </row>
    <row r="885" spans="1:3" x14ac:dyDescent="0.3">
      <c r="A885" s="6" t="s">
        <v>607</v>
      </c>
      <c r="B885" s="8">
        <v>14.75</v>
      </c>
      <c r="C885" s="7">
        <f t="shared" si="13"/>
        <v>1.1531452360343364</v>
      </c>
    </row>
    <row r="886" spans="1:3" x14ac:dyDescent="0.3">
      <c r="A886" s="6" t="s">
        <v>608</v>
      </c>
      <c r="B886" s="8">
        <v>14.75</v>
      </c>
      <c r="C886" s="7">
        <f t="shared" si="13"/>
        <v>1.1531452360343364</v>
      </c>
    </row>
    <row r="887" spans="1:3" x14ac:dyDescent="0.3">
      <c r="A887" s="6" t="s">
        <v>609</v>
      </c>
      <c r="B887" s="8">
        <v>14.75</v>
      </c>
      <c r="C887" s="7">
        <f t="shared" si="13"/>
        <v>1.1531452360343364</v>
      </c>
    </row>
    <row r="888" spans="1:3" x14ac:dyDescent="0.3">
      <c r="A888" s="6" t="s">
        <v>610</v>
      </c>
      <c r="B888" s="8">
        <v>14.75</v>
      </c>
      <c r="C888" s="7">
        <f t="shared" si="13"/>
        <v>1.1531452360343364</v>
      </c>
    </row>
    <row r="889" spans="1:3" x14ac:dyDescent="0.3">
      <c r="A889" s="6" t="s">
        <v>1208</v>
      </c>
      <c r="B889" s="8">
        <v>14.75</v>
      </c>
      <c r="C889" s="7">
        <f t="shared" si="13"/>
        <v>1.1531452360343364</v>
      </c>
    </row>
    <row r="890" spans="1:3" x14ac:dyDescent="0.3">
      <c r="A890" s="6" t="s">
        <v>1209</v>
      </c>
      <c r="B890" s="8">
        <v>14.75</v>
      </c>
      <c r="C890" s="7">
        <f t="shared" si="13"/>
        <v>1.1531452360343364</v>
      </c>
    </row>
    <row r="891" spans="1:3" x14ac:dyDescent="0.3">
      <c r="A891" s="6" t="s">
        <v>611</v>
      </c>
      <c r="B891" s="8">
        <v>14.75</v>
      </c>
      <c r="C891" s="7">
        <f t="shared" si="13"/>
        <v>1.1531452360343364</v>
      </c>
    </row>
    <row r="892" spans="1:3" x14ac:dyDescent="0.3">
      <c r="A892" s="6" t="s">
        <v>612</v>
      </c>
      <c r="B892" s="8">
        <v>14.75</v>
      </c>
      <c r="C892" s="7">
        <f t="shared" si="13"/>
        <v>1.1531452360343364</v>
      </c>
    </row>
    <row r="893" spans="1:3" x14ac:dyDescent="0.3">
      <c r="A893" s="6" t="s">
        <v>613</v>
      </c>
      <c r="B893" s="8">
        <v>14.75</v>
      </c>
      <c r="C893" s="7">
        <f t="shared" si="13"/>
        <v>1.1531452360343364</v>
      </c>
    </row>
    <row r="894" spans="1:3" x14ac:dyDescent="0.3">
      <c r="A894" s="6" t="s">
        <v>614</v>
      </c>
      <c r="B894" s="8">
        <v>14.75</v>
      </c>
      <c r="C894" s="7">
        <f t="shared" si="13"/>
        <v>1.1531452360343364</v>
      </c>
    </row>
    <row r="895" spans="1:3" x14ac:dyDescent="0.3">
      <c r="A895" s="6" t="s">
        <v>615</v>
      </c>
      <c r="B895" s="8">
        <v>14.75</v>
      </c>
      <c r="C895" s="7">
        <f t="shared" si="13"/>
        <v>1.1531452360343364</v>
      </c>
    </row>
    <row r="896" spans="1:3" x14ac:dyDescent="0.3">
      <c r="A896" s="6" t="s">
        <v>1210</v>
      </c>
      <c r="B896" s="8">
        <v>14.75</v>
      </c>
      <c r="C896" s="7">
        <f t="shared" si="13"/>
        <v>1.1531452360343364</v>
      </c>
    </row>
    <row r="897" spans="1:3" x14ac:dyDescent="0.3">
      <c r="A897" s="6" t="s">
        <v>1211</v>
      </c>
      <c r="B897" s="8">
        <v>14.75</v>
      </c>
      <c r="C897" s="7">
        <f t="shared" si="13"/>
        <v>1.1531452360343364</v>
      </c>
    </row>
    <row r="898" spans="1:3" x14ac:dyDescent="0.3">
      <c r="A898" s="6" t="s">
        <v>616</v>
      </c>
      <c r="B898" s="8">
        <v>14.75</v>
      </c>
      <c r="C898" s="7">
        <f t="shared" si="13"/>
        <v>1.1531452360343364</v>
      </c>
    </row>
    <row r="899" spans="1:3" x14ac:dyDescent="0.3">
      <c r="A899" s="6" t="s">
        <v>617</v>
      </c>
      <c r="B899" s="8">
        <v>14.75</v>
      </c>
      <c r="C899" s="7">
        <f t="shared" si="13"/>
        <v>1.1531452360343364</v>
      </c>
    </row>
    <row r="900" spans="1:3" x14ac:dyDescent="0.3">
      <c r="A900" s="6" t="s">
        <v>618</v>
      </c>
      <c r="B900" s="8">
        <v>14.75</v>
      </c>
      <c r="C900" s="7">
        <f t="shared" si="13"/>
        <v>1.1531452360343364</v>
      </c>
    </row>
    <row r="901" spans="1:3" x14ac:dyDescent="0.3">
      <c r="A901" s="6" t="s">
        <v>619</v>
      </c>
      <c r="B901" s="8">
        <v>14.75</v>
      </c>
      <c r="C901" s="7">
        <f t="shared" si="13"/>
        <v>1.1531452360343364</v>
      </c>
    </row>
    <row r="902" spans="1:3" x14ac:dyDescent="0.3">
      <c r="A902" s="6" t="s">
        <v>620</v>
      </c>
      <c r="B902" s="8">
        <v>14.75</v>
      </c>
      <c r="C902" s="7">
        <f t="shared" si="13"/>
        <v>1.1531452360343364</v>
      </c>
    </row>
    <row r="903" spans="1:3" x14ac:dyDescent="0.3">
      <c r="A903" s="6" t="s">
        <v>1212</v>
      </c>
      <c r="B903" s="8">
        <v>14.75</v>
      </c>
      <c r="C903" s="7">
        <f t="shared" si="13"/>
        <v>1.1531452360343364</v>
      </c>
    </row>
    <row r="904" spans="1:3" x14ac:dyDescent="0.3">
      <c r="A904" s="6" t="s">
        <v>1213</v>
      </c>
      <c r="B904" s="8">
        <v>14.75</v>
      </c>
      <c r="C904" s="7">
        <f t="shared" ref="C904:C967" si="14">((1+B904/100)^(1/12)-1)*100</f>
        <v>1.1531452360343364</v>
      </c>
    </row>
    <row r="905" spans="1:3" x14ac:dyDescent="0.3">
      <c r="A905" s="6" t="s">
        <v>621</v>
      </c>
      <c r="B905" s="8">
        <v>14.75</v>
      </c>
      <c r="C905" s="7">
        <f t="shared" si="14"/>
        <v>1.1531452360343364</v>
      </c>
    </row>
    <row r="906" spans="1:3" x14ac:dyDescent="0.3">
      <c r="A906" s="6" t="s">
        <v>622</v>
      </c>
      <c r="B906" s="8">
        <v>14.75</v>
      </c>
      <c r="C906" s="7">
        <f t="shared" si="14"/>
        <v>1.1531452360343364</v>
      </c>
    </row>
    <row r="907" spans="1:3" x14ac:dyDescent="0.3">
      <c r="A907" s="6" t="s">
        <v>623</v>
      </c>
      <c r="B907" s="8">
        <v>14.75</v>
      </c>
      <c r="C907" s="7">
        <f t="shared" si="14"/>
        <v>1.1531452360343364</v>
      </c>
    </row>
    <row r="908" spans="1:3" x14ac:dyDescent="0.3">
      <c r="A908" s="6" t="s">
        <v>1214</v>
      </c>
      <c r="B908" s="8">
        <v>15</v>
      </c>
      <c r="C908" s="7">
        <f t="shared" si="14"/>
        <v>1.171491691985338</v>
      </c>
    </row>
    <row r="909" spans="1:3" x14ac:dyDescent="0.3">
      <c r="A909" s="6" t="s">
        <v>624</v>
      </c>
      <c r="B909" s="8">
        <v>15</v>
      </c>
      <c r="C909" s="7">
        <f t="shared" si="14"/>
        <v>1.171491691985338</v>
      </c>
    </row>
    <row r="910" spans="1:3" x14ac:dyDescent="0.3">
      <c r="A910" s="6" t="s">
        <v>1215</v>
      </c>
      <c r="B910" s="8">
        <v>15</v>
      </c>
      <c r="C910" s="7">
        <f t="shared" si="14"/>
        <v>1.171491691985338</v>
      </c>
    </row>
    <row r="911" spans="1:3" x14ac:dyDescent="0.3">
      <c r="A911" s="6" t="s">
        <v>1216</v>
      </c>
      <c r="B911" s="8">
        <v>15</v>
      </c>
      <c r="C911" s="7">
        <f t="shared" si="14"/>
        <v>1.171491691985338</v>
      </c>
    </row>
    <row r="912" spans="1:3" x14ac:dyDescent="0.3">
      <c r="A912" s="6" t="s">
        <v>625</v>
      </c>
      <c r="B912" s="8">
        <v>15</v>
      </c>
      <c r="C912" s="7">
        <f t="shared" si="14"/>
        <v>1.171491691985338</v>
      </c>
    </row>
    <row r="913" spans="1:3" x14ac:dyDescent="0.3">
      <c r="A913" s="6" t="s">
        <v>626</v>
      </c>
      <c r="B913" s="8">
        <v>15</v>
      </c>
      <c r="C913" s="7">
        <f t="shared" si="14"/>
        <v>1.171491691985338</v>
      </c>
    </row>
    <row r="914" spans="1:3" x14ac:dyDescent="0.3">
      <c r="A914" s="6" t="s">
        <v>627</v>
      </c>
      <c r="B914" s="8">
        <v>15</v>
      </c>
      <c r="C914" s="7">
        <f t="shared" si="14"/>
        <v>1.171491691985338</v>
      </c>
    </row>
    <row r="915" spans="1:3" x14ac:dyDescent="0.3">
      <c r="A915" s="6" t="s">
        <v>628</v>
      </c>
      <c r="B915" s="8">
        <v>15</v>
      </c>
      <c r="C915" s="7">
        <f t="shared" si="14"/>
        <v>1.171491691985338</v>
      </c>
    </row>
    <row r="916" spans="1:3" x14ac:dyDescent="0.3">
      <c r="A916" s="6" t="s">
        <v>629</v>
      </c>
      <c r="B916" s="8">
        <v>15</v>
      </c>
      <c r="C916" s="7">
        <f t="shared" si="14"/>
        <v>1.171491691985338</v>
      </c>
    </row>
    <row r="917" spans="1:3" x14ac:dyDescent="0.3">
      <c r="A917" s="6" t="s">
        <v>1217</v>
      </c>
      <c r="B917" s="8">
        <v>15</v>
      </c>
      <c r="C917" s="7">
        <f t="shared" si="14"/>
        <v>1.171491691985338</v>
      </c>
    </row>
    <row r="918" spans="1:3" x14ac:dyDescent="0.3">
      <c r="A918" s="6" t="s">
        <v>1218</v>
      </c>
      <c r="B918" s="8">
        <v>15</v>
      </c>
      <c r="C918" s="7">
        <f t="shared" si="14"/>
        <v>1.171491691985338</v>
      </c>
    </row>
    <row r="919" spans="1:3" x14ac:dyDescent="0.3">
      <c r="A919" s="6" t="s">
        <v>630</v>
      </c>
      <c r="B919" s="8">
        <v>15</v>
      </c>
      <c r="C919" s="7">
        <f t="shared" si="14"/>
        <v>1.171491691985338</v>
      </c>
    </row>
    <row r="920" spans="1:3" x14ac:dyDescent="0.3">
      <c r="A920" s="6" t="s">
        <v>631</v>
      </c>
      <c r="B920" s="8">
        <v>15</v>
      </c>
      <c r="C920" s="7">
        <f t="shared" si="14"/>
        <v>1.171491691985338</v>
      </c>
    </row>
    <row r="921" spans="1:3" x14ac:dyDescent="0.3">
      <c r="A921" s="6" t="s">
        <v>632</v>
      </c>
      <c r="B921" s="8">
        <v>15</v>
      </c>
      <c r="C921" s="7">
        <f t="shared" si="14"/>
        <v>1.171491691985338</v>
      </c>
    </row>
    <row r="922" spans="1:3" x14ac:dyDescent="0.3">
      <c r="A922" s="6" t="s">
        <v>633</v>
      </c>
      <c r="B922" s="8">
        <v>15</v>
      </c>
      <c r="C922" s="7">
        <f t="shared" si="14"/>
        <v>1.171491691985338</v>
      </c>
    </row>
    <row r="923" spans="1:3" x14ac:dyDescent="0.3">
      <c r="A923" s="6" t="s">
        <v>634</v>
      </c>
      <c r="B923" s="8">
        <v>15</v>
      </c>
      <c r="C923" s="7">
        <f t="shared" si="14"/>
        <v>1.171491691985338</v>
      </c>
    </row>
    <row r="924" spans="1:3" x14ac:dyDescent="0.3">
      <c r="A924" s="6" t="s">
        <v>1219</v>
      </c>
      <c r="B924" s="8">
        <v>15</v>
      </c>
      <c r="C924" s="7">
        <f t="shared" si="14"/>
        <v>1.171491691985338</v>
      </c>
    </row>
    <row r="925" spans="1:3" x14ac:dyDescent="0.3">
      <c r="A925" s="6" t="s">
        <v>1220</v>
      </c>
      <c r="B925" s="8">
        <v>15</v>
      </c>
      <c r="C925" s="7">
        <f t="shared" si="14"/>
        <v>1.171491691985338</v>
      </c>
    </row>
    <row r="926" spans="1:3" x14ac:dyDescent="0.3">
      <c r="A926" s="6" t="s">
        <v>635</v>
      </c>
      <c r="B926" s="8">
        <v>15</v>
      </c>
      <c r="C926" s="7">
        <f t="shared" si="14"/>
        <v>1.171491691985338</v>
      </c>
    </row>
    <row r="927" spans="1:3" x14ac:dyDescent="0.3">
      <c r="A927" s="6" t="s">
        <v>636</v>
      </c>
      <c r="B927" s="8">
        <v>15</v>
      </c>
      <c r="C927" s="7">
        <f t="shared" si="14"/>
        <v>1.171491691985338</v>
      </c>
    </row>
    <row r="928" spans="1:3" x14ac:dyDescent="0.3">
      <c r="A928" s="6" t="s">
        <v>637</v>
      </c>
      <c r="B928" s="8">
        <v>15</v>
      </c>
      <c r="C928" s="7">
        <f t="shared" si="14"/>
        <v>1.171491691985338</v>
      </c>
    </row>
    <row r="929" spans="1:3" x14ac:dyDescent="0.3">
      <c r="A929" s="6" t="s">
        <v>638</v>
      </c>
      <c r="B929" s="8">
        <v>15</v>
      </c>
      <c r="C929" s="7">
        <f t="shared" si="14"/>
        <v>1.171491691985338</v>
      </c>
    </row>
    <row r="930" spans="1:3" x14ac:dyDescent="0.3">
      <c r="A930" s="6" t="s">
        <v>639</v>
      </c>
      <c r="B930" s="8">
        <v>15</v>
      </c>
      <c r="C930" s="7">
        <f t="shared" si="14"/>
        <v>1.171491691985338</v>
      </c>
    </row>
    <row r="931" spans="1:3" x14ac:dyDescent="0.3">
      <c r="A931" s="6" t="s">
        <v>1221</v>
      </c>
      <c r="B931" s="8">
        <v>15</v>
      </c>
      <c r="C931" s="7">
        <f t="shared" si="14"/>
        <v>1.171491691985338</v>
      </c>
    </row>
    <row r="932" spans="1:3" x14ac:dyDescent="0.3">
      <c r="A932" s="6" t="s">
        <v>1222</v>
      </c>
      <c r="B932" s="8">
        <v>15</v>
      </c>
      <c r="C932" s="7">
        <f t="shared" si="14"/>
        <v>1.171491691985338</v>
      </c>
    </row>
    <row r="933" spans="1:3" x14ac:dyDescent="0.3">
      <c r="A933" s="6" t="s">
        <v>640</v>
      </c>
      <c r="B933" s="8">
        <v>15</v>
      </c>
      <c r="C933" s="7">
        <f t="shared" si="14"/>
        <v>1.171491691985338</v>
      </c>
    </row>
    <row r="934" spans="1:3" x14ac:dyDescent="0.3">
      <c r="A934" s="6" t="s">
        <v>641</v>
      </c>
      <c r="B934" s="8">
        <v>15</v>
      </c>
      <c r="C934" s="7">
        <f t="shared" si="14"/>
        <v>1.171491691985338</v>
      </c>
    </row>
    <row r="935" spans="1:3" x14ac:dyDescent="0.3">
      <c r="A935" s="6" t="s">
        <v>642</v>
      </c>
      <c r="B935" s="8">
        <v>15</v>
      </c>
      <c r="C935" s="7">
        <f t="shared" si="14"/>
        <v>1.171491691985338</v>
      </c>
    </row>
    <row r="936" spans="1:3" x14ac:dyDescent="0.3">
      <c r="A936" s="6" t="s">
        <v>643</v>
      </c>
      <c r="B936" s="8">
        <v>15</v>
      </c>
      <c r="C936" s="7">
        <f t="shared" si="14"/>
        <v>1.171491691985338</v>
      </c>
    </row>
    <row r="937" spans="1:3" x14ac:dyDescent="0.3">
      <c r="A937" s="6" t="s">
        <v>644</v>
      </c>
      <c r="B937" s="8">
        <v>15</v>
      </c>
      <c r="C937" s="7">
        <f t="shared" si="14"/>
        <v>1.171491691985338</v>
      </c>
    </row>
    <row r="938" spans="1:3" x14ac:dyDescent="0.3">
      <c r="A938" s="6" t="s">
        <v>1223</v>
      </c>
      <c r="B938" s="8">
        <v>15</v>
      </c>
      <c r="C938" s="7">
        <f t="shared" si="14"/>
        <v>1.171491691985338</v>
      </c>
    </row>
    <row r="939" spans="1:3" x14ac:dyDescent="0.3">
      <c r="A939" s="6" t="s">
        <v>1224</v>
      </c>
      <c r="B939" s="8">
        <v>15</v>
      </c>
      <c r="C939" s="7">
        <f t="shared" si="14"/>
        <v>1.171491691985338</v>
      </c>
    </row>
    <row r="940" spans="1:3" x14ac:dyDescent="0.3">
      <c r="A940" s="6" t="s">
        <v>645</v>
      </c>
      <c r="B940" s="8">
        <v>15</v>
      </c>
      <c r="C940" s="7">
        <f t="shared" si="14"/>
        <v>1.171491691985338</v>
      </c>
    </row>
    <row r="941" spans="1:3" x14ac:dyDescent="0.3">
      <c r="A941" s="6" t="s">
        <v>646</v>
      </c>
      <c r="B941" s="8">
        <v>15</v>
      </c>
      <c r="C941" s="7">
        <f t="shared" si="14"/>
        <v>1.171491691985338</v>
      </c>
    </row>
    <row r="942" spans="1:3" x14ac:dyDescent="0.3">
      <c r="A942" s="6" t="s">
        <v>647</v>
      </c>
      <c r="B942" s="8">
        <v>15</v>
      </c>
      <c r="C942" s="7">
        <f t="shared" si="14"/>
        <v>1.171491691985338</v>
      </c>
    </row>
    <row r="943" spans="1:3" x14ac:dyDescent="0.3">
      <c r="A943" s="6" t="s">
        <v>648</v>
      </c>
      <c r="B943" s="8">
        <v>15</v>
      </c>
      <c r="C943" s="7">
        <f t="shared" si="14"/>
        <v>1.171491691985338</v>
      </c>
    </row>
    <row r="944" spans="1:3" x14ac:dyDescent="0.3">
      <c r="A944" s="6" t="s">
        <v>649</v>
      </c>
      <c r="B944" s="8">
        <v>15</v>
      </c>
      <c r="C944" s="7">
        <f t="shared" si="14"/>
        <v>1.171491691985338</v>
      </c>
    </row>
    <row r="945" spans="1:3" x14ac:dyDescent="0.3">
      <c r="A945" s="6" t="s">
        <v>1225</v>
      </c>
      <c r="B945" s="8">
        <v>15</v>
      </c>
      <c r="C945" s="7">
        <f t="shared" si="14"/>
        <v>1.171491691985338</v>
      </c>
    </row>
    <row r="946" spans="1:3" x14ac:dyDescent="0.3">
      <c r="A946" s="6" t="s">
        <v>1226</v>
      </c>
      <c r="B946" s="8">
        <v>15</v>
      </c>
      <c r="C946" s="7">
        <f t="shared" si="14"/>
        <v>1.171491691985338</v>
      </c>
    </row>
    <row r="947" spans="1:3" x14ac:dyDescent="0.3">
      <c r="A947" s="6" t="s">
        <v>650</v>
      </c>
      <c r="B947" s="8">
        <v>15</v>
      </c>
      <c r="C947" s="7">
        <f t="shared" si="14"/>
        <v>1.171491691985338</v>
      </c>
    </row>
    <row r="948" spans="1:3" x14ac:dyDescent="0.3">
      <c r="A948" s="6" t="s">
        <v>651</v>
      </c>
      <c r="B948" s="8">
        <v>15</v>
      </c>
      <c r="C948" s="7">
        <f t="shared" si="14"/>
        <v>1.171491691985338</v>
      </c>
    </row>
    <row r="949" spans="1:3" x14ac:dyDescent="0.3">
      <c r="A949" s="6" t="s">
        <v>652</v>
      </c>
      <c r="B949" s="8">
        <v>15</v>
      </c>
      <c r="C949" s="7">
        <f t="shared" si="14"/>
        <v>1.171491691985338</v>
      </c>
    </row>
    <row r="950" spans="1:3" x14ac:dyDescent="0.3">
      <c r="A950" s="6" t="s">
        <v>653</v>
      </c>
      <c r="B950" s="8">
        <v>15</v>
      </c>
      <c r="C950" s="7">
        <f t="shared" si="14"/>
        <v>1.171491691985338</v>
      </c>
    </row>
    <row r="951" spans="1:3" x14ac:dyDescent="0.3">
      <c r="A951" s="6" t="s">
        <v>654</v>
      </c>
      <c r="B951" s="8">
        <v>15</v>
      </c>
      <c r="C951" s="7">
        <f t="shared" si="14"/>
        <v>1.171491691985338</v>
      </c>
    </row>
    <row r="952" spans="1:3" x14ac:dyDescent="0.3">
      <c r="A952" s="6" t="s">
        <v>1227</v>
      </c>
      <c r="B952" s="8">
        <v>15</v>
      </c>
      <c r="C952" s="7">
        <f t="shared" si="14"/>
        <v>1.171491691985338</v>
      </c>
    </row>
    <row r="953" spans="1:3" x14ac:dyDescent="0.3">
      <c r="A953" s="6" t="s">
        <v>1228</v>
      </c>
      <c r="B953" s="8">
        <v>15</v>
      </c>
      <c r="C953" s="7">
        <f t="shared" si="14"/>
        <v>1.171491691985338</v>
      </c>
    </row>
    <row r="954" spans="1:3" x14ac:dyDescent="0.3">
      <c r="A954" s="6" t="s">
        <v>655</v>
      </c>
      <c r="B954" s="8">
        <v>15</v>
      </c>
      <c r="C954" s="7">
        <f t="shared" si="14"/>
        <v>1.171491691985338</v>
      </c>
    </row>
    <row r="955" spans="1:3" x14ac:dyDescent="0.3">
      <c r="A955" s="6" t="s">
        <v>656</v>
      </c>
      <c r="B955" s="8">
        <v>15</v>
      </c>
      <c r="C955" s="7">
        <f t="shared" si="14"/>
        <v>1.171491691985338</v>
      </c>
    </row>
    <row r="956" spans="1:3" x14ac:dyDescent="0.3">
      <c r="A956" s="6" t="s">
        <v>657</v>
      </c>
      <c r="B956" s="8">
        <v>15</v>
      </c>
      <c r="C956" s="7">
        <f t="shared" si="14"/>
        <v>1.171491691985338</v>
      </c>
    </row>
    <row r="957" spans="1:3" x14ac:dyDescent="0.3">
      <c r="A957" s="6" t="s">
        <v>658</v>
      </c>
      <c r="B957" s="8">
        <v>15</v>
      </c>
      <c r="C957" s="7">
        <f t="shared" si="14"/>
        <v>1.171491691985338</v>
      </c>
    </row>
    <row r="958" spans="1:3" x14ac:dyDescent="0.3">
      <c r="A958" s="6" t="s">
        <v>659</v>
      </c>
      <c r="B958" s="8">
        <v>15</v>
      </c>
      <c r="C958" s="7">
        <f t="shared" si="14"/>
        <v>1.171491691985338</v>
      </c>
    </row>
    <row r="959" spans="1:3" x14ac:dyDescent="0.3">
      <c r="A959" s="6" t="s">
        <v>1229</v>
      </c>
      <c r="B959" s="8">
        <v>15</v>
      </c>
      <c r="C959" s="7">
        <f t="shared" si="14"/>
        <v>1.171491691985338</v>
      </c>
    </row>
    <row r="960" spans="1:3" x14ac:dyDescent="0.3">
      <c r="A960" s="6" t="s">
        <v>1230</v>
      </c>
      <c r="B960" s="8">
        <v>15</v>
      </c>
      <c r="C960" s="7">
        <f t="shared" si="14"/>
        <v>1.171491691985338</v>
      </c>
    </row>
    <row r="961" spans="1:3" x14ac:dyDescent="0.3">
      <c r="A961" s="6" t="s">
        <v>660</v>
      </c>
      <c r="B961" s="8">
        <v>15</v>
      </c>
      <c r="C961" s="7">
        <f t="shared" si="14"/>
        <v>1.171491691985338</v>
      </c>
    </row>
    <row r="962" spans="1:3" x14ac:dyDescent="0.3">
      <c r="A962" s="6" t="s">
        <v>661</v>
      </c>
      <c r="B962" s="8">
        <v>15</v>
      </c>
      <c r="C962" s="7">
        <f t="shared" si="14"/>
        <v>1.171491691985338</v>
      </c>
    </row>
    <row r="963" spans="1:3" x14ac:dyDescent="0.3">
      <c r="A963" s="6" t="s">
        <v>662</v>
      </c>
      <c r="B963" s="8">
        <v>15</v>
      </c>
      <c r="C963" s="7">
        <f t="shared" si="14"/>
        <v>1.171491691985338</v>
      </c>
    </row>
    <row r="964" spans="1:3" x14ac:dyDescent="0.3">
      <c r="A964" s="6" t="s">
        <v>663</v>
      </c>
      <c r="B964" s="8">
        <v>15</v>
      </c>
      <c r="C964" s="7">
        <f t="shared" si="14"/>
        <v>1.171491691985338</v>
      </c>
    </row>
    <row r="965" spans="1:3" x14ac:dyDescent="0.3">
      <c r="A965" s="6" t="s">
        <v>664</v>
      </c>
      <c r="B965" s="8">
        <v>15</v>
      </c>
      <c r="C965" s="7">
        <f t="shared" si="14"/>
        <v>1.171491691985338</v>
      </c>
    </row>
    <row r="966" spans="1:3" x14ac:dyDescent="0.3">
      <c r="A966" s="6" t="s">
        <v>1231</v>
      </c>
      <c r="B966" s="8">
        <v>15</v>
      </c>
      <c r="C966" s="7">
        <f t="shared" si="14"/>
        <v>1.171491691985338</v>
      </c>
    </row>
    <row r="967" spans="1:3" x14ac:dyDescent="0.3">
      <c r="A967" s="6" t="s">
        <v>1232</v>
      </c>
      <c r="B967" s="8">
        <v>15</v>
      </c>
      <c r="C967" s="7">
        <f t="shared" si="14"/>
        <v>1.171491691985338</v>
      </c>
    </row>
    <row r="968" spans="1:3" x14ac:dyDescent="0.3">
      <c r="A968" s="6" t="s">
        <v>665</v>
      </c>
      <c r="B968" s="8">
        <v>15</v>
      </c>
      <c r="C968" s="7">
        <f t="shared" ref="C968:C1031" si="15">((1+B968/100)^(1/12)-1)*100</f>
        <v>1.171491691985338</v>
      </c>
    </row>
    <row r="969" spans="1:3" x14ac:dyDescent="0.3">
      <c r="A969" s="6" t="s">
        <v>666</v>
      </c>
      <c r="B969" s="8">
        <v>15</v>
      </c>
      <c r="C969" s="7">
        <f t="shared" si="15"/>
        <v>1.171491691985338</v>
      </c>
    </row>
    <row r="970" spans="1:3" x14ac:dyDescent="0.3">
      <c r="A970" s="6" t="s">
        <v>667</v>
      </c>
      <c r="B970" s="8">
        <v>15</v>
      </c>
      <c r="C970" s="7">
        <f t="shared" si="15"/>
        <v>1.171491691985338</v>
      </c>
    </row>
    <row r="971" spans="1:3" x14ac:dyDescent="0.3">
      <c r="A971" s="6" t="s">
        <v>668</v>
      </c>
      <c r="B971" s="8">
        <v>15</v>
      </c>
      <c r="C971" s="7">
        <f t="shared" si="15"/>
        <v>1.171491691985338</v>
      </c>
    </row>
    <row r="972" spans="1:3" x14ac:dyDescent="0.3">
      <c r="A972" s="6" t="s">
        <v>669</v>
      </c>
      <c r="B972" s="8">
        <v>15</v>
      </c>
      <c r="C972" s="7">
        <f t="shared" si="15"/>
        <v>1.171491691985338</v>
      </c>
    </row>
    <row r="973" spans="1:3" x14ac:dyDescent="0.3">
      <c r="A973" s="6" t="s">
        <v>1233</v>
      </c>
      <c r="B973" s="8">
        <v>15</v>
      </c>
      <c r="C973" s="7">
        <f t="shared" si="15"/>
        <v>1.171491691985338</v>
      </c>
    </row>
    <row r="974" spans="1:3" x14ac:dyDescent="0.3">
      <c r="A974" s="6" t="s">
        <v>1234</v>
      </c>
      <c r="B974" s="8">
        <v>15</v>
      </c>
      <c r="C974" s="7">
        <f t="shared" si="15"/>
        <v>1.171491691985338</v>
      </c>
    </row>
    <row r="975" spans="1:3" x14ac:dyDescent="0.3">
      <c r="A975" s="6" t="s">
        <v>670</v>
      </c>
      <c r="B975" s="8">
        <v>15</v>
      </c>
      <c r="C975" s="7">
        <f t="shared" si="15"/>
        <v>1.171491691985338</v>
      </c>
    </row>
    <row r="976" spans="1:3" x14ac:dyDescent="0.3">
      <c r="A976" s="6" t="s">
        <v>671</v>
      </c>
      <c r="B976" s="8">
        <v>15</v>
      </c>
      <c r="C976" s="7">
        <f t="shared" si="15"/>
        <v>1.171491691985338</v>
      </c>
    </row>
    <row r="977" spans="1:3" x14ac:dyDescent="0.3">
      <c r="A977" s="6" t="s">
        <v>672</v>
      </c>
      <c r="B977" s="8">
        <v>15</v>
      </c>
      <c r="C977" s="7">
        <f t="shared" si="15"/>
        <v>1.171491691985338</v>
      </c>
    </row>
    <row r="978" spans="1:3" x14ac:dyDescent="0.3">
      <c r="A978" s="6" t="s">
        <v>673</v>
      </c>
      <c r="B978" s="8">
        <v>15</v>
      </c>
      <c r="C978" s="7">
        <f t="shared" si="15"/>
        <v>1.171491691985338</v>
      </c>
    </row>
    <row r="979" spans="1:3" x14ac:dyDescent="0.3">
      <c r="A979" s="6" t="s">
        <v>674</v>
      </c>
      <c r="B979" s="8">
        <v>15</v>
      </c>
      <c r="C979" s="7">
        <f t="shared" si="15"/>
        <v>1.171491691985338</v>
      </c>
    </row>
    <row r="980" spans="1:3" x14ac:dyDescent="0.3">
      <c r="A980" s="6" t="s">
        <v>1235</v>
      </c>
      <c r="B980" s="8">
        <v>15</v>
      </c>
      <c r="C980" s="7">
        <f t="shared" si="15"/>
        <v>1.171491691985338</v>
      </c>
    </row>
    <row r="981" spans="1:3" x14ac:dyDescent="0.3">
      <c r="A981" s="6" t="s">
        <v>1236</v>
      </c>
      <c r="B981" s="8">
        <v>15</v>
      </c>
      <c r="C981" s="7">
        <f t="shared" si="15"/>
        <v>1.171491691985338</v>
      </c>
    </row>
    <row r="982" spans="1:3" x14ac:dyDescent="0.3">
      <c r="A982" s="6" t="s">
        <v>675</v>
      </c>
      <c r="B982" s="8">
        <v>15</v>
      </c>
      <c r="C982" s="7">
        <f t="shared" si="15"/>
        <v>1.171491691985338</v>
      </c>
    </row>
    <row r="983" spans="1:3" x14ac:dyDescent="0.3">
      <c r="A983" s="6" t="s">
        <v>676</v>
      </c>
      <c r="B983" s="8">
        <v>15</v>
      </c>
      <c r="C983" s="7">
        <f t="shared" si="15"/>
        <v>1.171491691985338</v>
      </c>
    </row>
    <row r="984" spans="1:3" x14ac:dyDescent="0.3">
      <c r="A984" s="6" t="s">
        <v>677</v>
      </c>
      <c r="B984" s="8">
        <v>15</v>
      </c>
      <c r="C984" s="7">
        <f t="shared" si="15"/>
        <v>1.171491691985338</v>
      </c>
    </row>
    <row r="985" spans="1:3" x14ac:dyDescent="0.3">
      <c r="A985" s="6" t="s">
        <v>678</v>
      </c>
      <c r="B985" s="8">
        <v>15</v>
      </c>
      <c r="C985" s="7">
        <f t="shared" si="15"/>
        <v>1.171491691985338</v>
      </c>
    </row>
    <row r="986" spans="1:3" x14ac:dyDescent="0.3">
      <c r="A986" s="6" t="s">
        <v>679</v>
      </c>
      <c r="B986" s="8">
        <v>15</v>
      </c>
      <c r="C986" s="7">
        <f t="shared" si="15"/>
        <v>1.171491691985338</v>
      </c>
    </row>
    <row r="987" spans="1:3" x14ac:dyDescent="0.3">
      <c r="A987" s="6" t="s">
        <v>1237</v>
      </c>
      <c r="B987" s="8">
        <v>15</v>
      </c>
      <c r="C987" s="7">
        <f t="shared" si="15"/>
        <v>1.171491691985338</v>
      </c>
    </row>
    <row r="988" spans="1:3" x14ac:dyDescent="0.3">
      <c r="A988" s="6" t="s">
        <v>1238</v>
      </c>
      <c r="B988" s="8">
        <v>15</v>
      </c>
      <c r="C988" s="7">
        <f t="shared" si="15"/>
        <v>1.171491691985338</v>
      </c>
    </row>
    <row r="989" spans="1:3" x14ac:dyDescent="0.3">
      <c r="A989" s="6" t="s">
        <v>680</v>
      </c>
      <c r="B989" s="8">
        <v>15</v>
      </c>
      <c r="C989" s="7">
        <f t="shared" si="15"/>
        <v>1.171491691985338</v>
      </c>
    </row>
    <row r="990" spans="1:3" x14ac:dyDescent="0.3">
      <c r="A990" s="6" t="s">
        <v>681</v>
      </c>
      <c r="B990" s="8">
        <v>15</v>
      </c>
      <c r="C990" s="7">
        <f t="shared" si="15"/>
        <v>1.171491691985338</v>
      </c>
    </row>
    <row r="991" spans="1:3" x14ac:dyDescent="0.3">
      <c r="A991" s="6" t="s">
        <v>682</v>
      </c>
      <c r="B991" s="8">
        <v>15</v>
      </c>
      <c r="C991" s="7">
        <f t="shared" si="15"/>
        <v>1.171491691985338</v>
      </c>
    </row>
    <row r="992" spans="1:3" x14ac:dyDescent="0.3">
      <c r="A992" s="6" t="s">
        <v>683</v>
      </c>
      <c r="B992" s="8">
        <v>15</v>
      </c>
      <c r="C992" s="7">
        <f t="shared" si="15"/>
        <v>1.171491691985338</v>
      </c>
    </row>
    <row r="993" spans="1:3" x14ac:dyDescent="0.3">
      <c r="A993" s="6" t="s">
        <v>684</v>
      </c>
      <c r="B993" s="8">
        <v>15</v>
      </c>
      <c r="C993" s="7">
        <f t="shared" si="15"/>
        <v>1.171491691985338</v>
      </c>
    </row>
    <row r="994" spans="1:3" x14ac:dyDescent="0.3">
      <c r="A994" s="6" t="s">
        <v>1239</v>
      </c>
      <c r="B994" s="8">
        <v>15</v>
      </c>
      <c r="C994" s="7">
        <f t="shared" si="15"/>
        <v>1.171491691985338</v>
      </c>
    </row>
    <row r="995" spans="1:3" x14ac:dyDescent="0.3">
      <c r="A995" s="6" t="s">
        <v>1240</v>
      </c>
      <c r="B995" s="8">
        <v>15</v>
      </c>
      <c r="C995" s="7">
        <f t="shared" si="15"/>
        <v>1.171491691985338</v>
      </c>
    </row>
    <row r="996" spans="1:3" x14ac:dyDescent="0.3">
      <c r="A996" s="6" t="s">
        <v>685</v>
      </c>
      <c r="B996" s="8">
        <v>15</v>
      </c>
      <c r="C996" s="7">
        <f t="shared" si="15"/>
        <v>1.171491691985338</v>
      </c>
    </row>
    <row r="997" spans="1:3" x14ac:dyDescent="0.3">
      <c r="A997" s="6" t="s">
        <v>686</v>
      </c>
      <c r="B997" s="8">
        <v>15</v>
      </c>
      <c r="C997" s="7">
        <f t="shared" si="15"/>
        <v>1.171491691985338</v>
      </c>
    </row>
    <row r="998" spans="1:3" x14ac:dyDescent="0.3">
      <c r="A998" s="6" t="s">
        <v>687</v>
      </c>
      <c r="B998" s="8">
        <v>15</v>
      </c>
      <c r="C998" s="7">
        <f t="shared" si="15"/>
        <v>1.171491691985338</v>
      </c>
    </row>
    <row r="999" spans="1:3" x14ac:dyDescent="0.3">
      <c r="A999" s="6" t="s">
        <v>688</v>
      </c>
      <c r="B999" s="8">
        <v>15</v>
      </c>
      <c r="C999" s="7">
        <f t="shared" si="15"/>
        <v>1.171491691985338</v>
      </c>
    </row>
    <row r="1000" spans="1:3" x14ac:dyDescent="0.3">
      <c r="A1000" s="6" t="s">
        <v>689</v>
      </c>
      <c r="B1000" s="8">
        <v>15</v>
      </c>
      <c r="C1000" s="7">
        <f t="shared" si="15"/>
        <v>1.171491691985338</v>
      </c>
    </row>
    <row r="1001" spans="1:3" x14ac:dyDescent="0.3">
      <c r="A1001" s="6" t="s">
        <v>1241</v>
      </c>
      <c r="B1001" s="8">
        <v>15</v>
      </c>
      <c r="C1001" s="7">
        <f t="shared" si="15"/>
        <v>1.171491691985338</v>
      </c>
    </row>
    <row r="1002" spans="1:3" x14ac:dyDescent="0.3">
      <c r="A1002" s="6" t="s">
        <v>1242</v>
      </c>
      <c r="B1002" s="8">
        <v>15</v>
      </c>
      <c r="C1002" s="7">
        <f t="shared" si="15"/>
        <v>1.171491691985338</v>
      </c>
    </row>
    <row r="1003" spans="1:3" x14ac:dyDescent="0.3">
      <c r="A1003" s="6" t="s">
        <v>690</v>
      </c>
      <c r="B1003" s="8">
        <v>15</v>
      </c>
      <c r="C1003" s="7">
        <f t="shared" si="15"/>
        <v>1.171491691985338</v>
      </c>
    </row>
    <row r="1004" spans="1:3" x14ac:dyDescent="0.3">
      <c r="A1004" s="6" t="s">
        <v>691</v>
      </c>
      <c r="B1004" s="8">
        <v>15</v>
      </c>
      <c r="C1004" s="7">
        <f t="shared" si="15"/>
        <v>1.171491691985338</v>
      </c>
    </row>
    <row r="1005" spans="1:3" x14ac:dyDescent="0.3">
      <c r="A1005" s="6" t="s">
        <v>692</v>
      </c>
      <c r="B1005" s="8">
        <v>15</v>
      </c>
      <c r="C1005" s="7">
        <f t="shared" si="15"/>
        <v>1.171491691985338</v>
      </c>
    </row>
    <row r="1006" spans="1:3" x14ac:dyDescent="0.3">
      <c r="A1006" s="6" t="s">
        <v>693</v>
      </c>
      <c r="B1006" s="8">
        <v>15</v>
      </c>
      <c r="C1006" s="7">
        <f t="shared" si="15"/>
        <v>1.171491691985338</v>
      </c>
    </row>
    <row r="1007" spans="1:3" x14ac:dyDescent="0.3">
      <c r="A1007" s="6" t="s">
        <v>694</v>
      </c>
      <c r="B1007" s="8">
        <v>15</v>
      </c>
      <c r="C1007" s="7">
        <f t="shared" si="15"/>
        <v>1.171491691985338</v>
      </c>
    </row>
    <row r="1008" spans="1:3" x14ac:dyDescent="0.3">
      <c r="A1008" s="6" t="s">
        <v>1243</v>
      </c>
      <c r="B1008" s="8">
        <v>15</v>
      </c>
      <c r="C1008" s="7">
        <f t="shared" si="15"/>
        <v>1.171491691985338</v>
      </c>
    </row>
    <row r="1009" spans="1:3" x14ac:dyDescent="0.3">
      <c r="A1009" s="6" t="s">
        <v>1244</v>
      </c>
      <c r="B1009" s="8">
        <v>15</v>
      </c>
      <c r="C1009" s="7">
        <f t="shared" si="15"/>
        <v>1.171491691985338</v>
      </c>
    </row>
    <row r="1010" spans="1:3" x14ac:dyDescent="0.3">
      <c r="A1010" s="6" t="s">
        <v>695</v>
      </c>
      <c r="B1010" s="8">
        <v>15</v>
      </c>
      <c r="C1010" s="7">
        <f t="shared" si="15"/>
        <v>1.171491691985338</v>
      </c>
    </row>
    <row r="1011" spans="1:3" x14ac:dyDescent="0.3">
      <c r="A1011" s="6" t="s">
        <v>696</v>
      </c>
      <c r="B1011" s="8">
        <v>15</v>
      </c>
      <c r="C1011" s="7">
        <f t="shared" si="15"/>
        <v>1.171491691985338</v>
      </c>
    </row>
    <row r="1012" spans="1:3" x14ac:dyDescent="0.3">
      <c r="A1012" s="6" t="s">
        <v>697</v>
      </c>
      <c r="B1012" s="8">
        <v>15</v>
      </c>
      <c r="C1012" s="7">
        <f t="shared" si="15"/>
        <v>1.171491691985338</v>
      </c>
    </row>
    <row r="1013" spans="1:3" x14ac:dyDescent="0.3">
      <c r="A1013" s="6" t="s">
        <v>698</v>
      </c>
      <c r="B1013" s="8">
        <v>15</v>
      </c>
      <c r="C1013" s="7">
        <f t="shared" si="15"/>
        <v>1.171491691985338</v>
      </c>
    </row>
    <row r="1014" spans="1:3" x14ac:dyDescent="0.3">
      <c r="A1014" s="6" t="s">
        <v>699</v>
      </c>
      <c r="B1014" s="8">
        <v>15</v>
      </c>
      <c r="C1014" s="7">
        <f t="shared" si="15"/>
        <v>1.171491691985338</v>
      </c>
    </row>
    <row r="1015" spans="1:3" x14ac:dyDescent="0.3">
      <c r="A1015" s="6" t="s">
        <v>1245</v>
      </c>
      <c r="B1015" s="8">
        <v>15</v>
      </c>
      <c r="C1015" s="7">
        <f t="shared" si="15"/>
        <v>1.171491691985338</v>
      </c>
    </row>
    <row r="1016" spans="1:3" x14ac:dyDescent="0.3">
      <c r="A1016" s="6" t="s">
        <v>1246</v>
      </c>
      <c r="B1016" s="8">
        <v>15</v>
      </c>
      <c r="C1016" s="7">
        <f t="shared" si="15"/>
        <v>1.171491691985338</v>
      </c>
    </row>
    <row r="1017" spans="1:3" x14ac:dyDescent="0.3">
      <c r="A1017" s="6" t="s">
        <v>700</v>
      </c>
      <c r="B1017" s="8">
        <v>15</v>
      </c>
      <c r="C1017" s="7">
        <f t="shared" si="15"/>
        <v>1.171491691985338</v>
      </c>
    </row>
    <row r="1018" spans="1:3" x14ac:dyDescent="0.3">
      <c r="A1018" s="6" t="s">
        <v>701</v>
      </c>
      <c r="B1018" s="8">
        <v>15</v>
      </c>
      <c r="C1018" s="7">
        <f t="shared" si="15"/>
        <v>1.171491691985338</v>
      </c>
    </row>
    <row r="1019" spans="1:3" x14ac:dyDescent="0.3">
      <c r="A1019" s="6" t="s">
        <v>702</v>
      </c>
      <c r="B1019" s="8">
        <v>15</v>
      </c>
      <c r="C1019" s="7">
        <f t="shared" si="15"/>
        <v>1.171491691985338</v>
      </c>
    </row>
    <row r="1020" spans="1:3" x14ac:dyDescent="0.3">
      <c r="A1020" s="6" t="s">
        <v>703</v>
      </c>
      <c r="B1020" s="8">
        <v>15</v>
      </c>
      <c r="C1020" s="7">
        <f t="shared" si="15"/>
        <v>1.171491691985338</v>
      </c>
    </row>
    <row r="1021" spans="1:3" x14ac:dyDescent="0.3">
      <c r="A1021" s="6" t="s">
        <v>704</v>
      </c>
      <c r="B1021" s="8">
        <v>15</v>
      </c>
      <c r="C1021" s="7">
        <f t="shared" si="15"/>
        <v>1.171491691985338</v>
      </c>
    </row>
    <row r="1022" spans="1:3" x14ac:dyDescent="0.3">
      <c r="A1022" s="6" t="s">
        <v>1247</v>
      </c>
      <c r="B1022" s="8">
        <v>15</v>
      </c>
      <c r="C1022" s="7">
        <f t="shared" si="15"/>
        <v>1.171491691985338</v>
      </c>
    </row>
    <row r="1023" spans="1:3" x14ac:dyDescent="0.3">
      <c r="A1023" s="6" t="s">
        <v>1248</v>
      </c>
      <c r="B1023" s="8">
        <v>15</v>
      </c>
      <c r="C1023" s="7">
        <f t="shared" si="15"/>
        <v>1.171491691985338</v>
      </c>
    </row>
    <row r="1024" spans="1:3" x14ac:dyDescent="0.3">
      <c r="A1024" s="6" t="s">
        <v>705</v>
      </c>
      <c r="B1024" s="8">
        <v>15</v>
      </c>
      <c r="C1024" s="7">
        <f t="shared" si="15"/>
        <v>1.171491691985338</v>
      </c>
    </row>
    <row r="1025" spans="1:3" x14ac:dyDescent="0.3">
      <c r="A1025" s="6" t="s">
        <v>706</v>
      </c>
      <c r="B1025" s="8">
        <v>15</v>
      </c>
      <c r="C1025" s="7">
        <f t="shared" si="15"/>
        <v>1.171491691985338</v>
      </c>
    </row>
    <row r="1026" spans="1:3" x14ac:dyDescent="0.3">
      <c r="A1026" s="6" t="s">
        <v>707</v>
      </c>
      <c r="B1026" s="8">
        <v>15</v>
      </c>
      <c r="C1026" s="7">
        <f t="shared" si="15"/>
        <v>1.171491691985338</v>
      </c>
    </row>
    <row r="1027" spans="1:3" x14ac:dyDescent="0.3">
      <c r="A1027" s="6" t="s">
        <v>708</v>
      </c>
      <c r="B1027" s="8">
        <v>15</v>
      </c>
      <c r="C1027" s="7">
        <f t="shared" si="15"/>
        <v>1.171491691985338</v>
      </c>
    </row>
    <row r="1028" spans="1:3" x14ac:dyDescent="0.3">
      <c r="A1028" s="6" t="s">
        <v>709</v>
      </c>
      <c r="B1028" s="8">
        <v>15</v>
      </c>
      <c r="C1028" s="7">
        <f t="shared" si="15"/>
        <v>1.171491691985338</v>
      </c>
    </row>
    <row r="1029" spans="1:3" x14ac:dyDescent="0.3">
      <c r="A1029" s="6" t="s">
        <v>1249</v>
      </c>
      <c r="B1029" s="8">
        <v>15</v>
      </c>
      <c r="C1029" s="7">
        <f t="shared" si="15"/>
        <v>1.171491691985338</v>
      </c>
    </row>
    <row r="1030" spans="1:3" x14ac:dyDescent="0.3">
      <c r="A1030" s="6" t="s">
        <v>1250</v>
      </c>
      <c r="B1030" s="8">
        <v>15</v>
      </c>
      <c r="C1030" s="7">
        <f t="shared" si="15"/>
        <v>1.171491691985338</v>
      </c>
    </row>
    <row r="1031" spans="1:3" x14ac:dyDescent="0.3">
      <c r="A1031" s="6" t="s">
        <v>710</v>
      </c>
      <c r="B1031" s="8">
        <v>15</v>
      </c>
      <c r="C1031" s="7">
        <f t="shared" si="15"/>
        <v>1.171491691985338</v>
      </c>
    </row>
    <row r="1032" spans="1:3" x14ac:dyDescent="0.3">
      <c r="A1032" s="6" t="s">
        <v>711</v>
      </c>
      <c r="B1032" s="8">
        <v>15</v>
      </c>
      <c r="C1032" s="7">
        <f t="shared" ref="C1032:C1095" si="16">((1+B1032/100)^(1/12)-1)*100</f>
        <v>1.171491691985338</v>
      </c>
    </row>
    <row r="1033" spans="1:3" x14ac:dyDescent="0.3">
      <c r="A1033" s="6" t="s">
        <v>712</v>
      </c>
      <c r="B1033" s="8">
        <v>15</v>
      </c>
      <c r="C1033" s="7">
        <f t="shared" si="16"/>
        <v>1.171491691985338</v>
      </c>
    </row>
    <row r="1034" spans="1:3" x14ac:dyDescent="0.3">
      <c r="A1034" s="6" t="s">
        <v>713</v>
      </c>
      <c r="B1034" s="8">
        <v>15</v>
      </c>
      <c r="C1034" s="7">
        <f t="shared" si="16"/>
        <v>1.171491691985338</v>
      </c>
    </row>
    <row r="1035" spans="1:3" x14ac:dyDescent="0.3">
      <c r="A1035" s="6" t="s">
        <v>714</v>
      </c>
      <c r="B1035" s="8">
        <v>15</v>
      </c>
      <c r="C1035" s="7">
        <f t="shared" si="16"/>
        <v>1.171491691985338</v>
      </c>
    </row>
    <row r="1036" spans="1:3" x14ac:dyDescent="0.3">
      <c r="A1036" s="6" t="s">
        <v>1251</v>
      </c>
      <c r="B1036" s="8">
        <v>15</v>
      </c>
      <c r="C1036" s="7">
        <f t="shared" si="16"/>
        <v>1.171491691985338</v>
      </c>
    </row>
    <row r="1037" spans="1:3" x14ac:dyDescent="0.3">
      <c r="A1037" s="6" t="s">
        <v>1252</v>
      </c>
      <c r="B1037" s="8">
        <v>15</v>
      </c>
      <c r="C1037" s="7">
        <f t="shared" si="16"/>
        <v>1.171491691985338</v>
      </c>
    </row>
    <row r="1038" spans="1:3" x14ac:dyDescent="0.3">
      <c r="A1038" s="6" t="s">
        <v>715</v>
      </c>
      <c r="B1038" s="8">
        <v>15</v>
      </c>
      <c r="C1038" s="7">
        <f t="shared" si="16"/>
        <v>1.171491691985338</v>
      </c>
    </row>
    <row r="1039" spans="1:3" x14ac:dyDescent="0.3">
      <c r="A1039" s="6" t="s">
        <v>716</v>
      </c>
      <c r="B1039" s="8">
        <v>15</v>
      </c>
      <c r="C1039" s="7">
        <f t="shared" si="16"/>
        <v>1.171491691985338</v>
      </c>
    </row>
    <row r="1040" spans="1:3" x14ac:dyDescent="0.3">
      <c r="A1040" s="6" t="s">
        <v>717</v>
      </c>
      <c r="B1040" s="8">
        <v>15</v>
      </c>
      <c r="C1040" s="7">
        <f t="shared" si="16"/>
        <v>1.171491691985338</v>
      </c>
    </row>
    <row r="1041" spans="1:3" x14ac:dyDescent="0.3">
      <c r="A1041" s="6" t="s">
        <v>718</v>
      </c>
      <c r="B1041" s="8">
        <v>15</v>
      </c>
      <c r="C1041" s="7">
        <f t="shared" si="16"/>
        <v>1.171491691985338</v>
      </c>
    </row>
    <row r="1042" spans="1:3" x14ac:dyDescent="0.3">
      <c r="A1042" s="6" t="s">
        <v>719</v>
      </c>
      <c r="B1042" s="8">
        <v>15</v>
      </c>
      <c r="C1042" s="7">
        <f t="shared" si="16"/>
        <v>1.171491691985338</v>
      </c>
    </row>
    <row r="1043" spans="1:3" x14ac:dyDescent="0.3">
      <c r="A1043" s="6" t="s">
        <v>1253</v>
      </c>
      <c r="B1043" s="8">
        <v>15</v>
      </c>
      <c r="C1043" s="7">
        <f t="shared" si="16"/>
        <v>1.171491691985338</v>
      </c>
    </row>
    <row r="1044" spans="1:3" x14ac:dyDescent="0.3">
      <c r="A1044" s="6" t="s">
        <v>1254</v>
      </c>
      <c r="B1044" s="8">
        <v>15</v>
      </c>
      <c r="C1044" s="7">
        <f t="shared" si="16"/>
        <v>1.171491691985338</v>
      </c>
    </row>
    <row r="1045" spans="1:3" x14ac:dyDescent="0.3">
      <c r="A1045" s="6" t="s">
        <v>720</v>
      </c>
      <c r="B1045" s="8">
        <v>15</v>
      </c>
      <c r="C1045" s="7">
        <f t="shared" si="16"/>
        <v>1.171491691985338</v>
      </c>
    </row>
    <row r="1046" spans="1:3" x14ac:dyDescent="0.3">
      <c r="A1046" s="6" t="s">
        <v>721</v>
      </c>
      <c r="B1046" s="8">
        <v>15</v>
      </c>
      <c r="C1046" s="7">
        <f t="shared" si="16"/>
        <v>1.171491691985338</v>
      </c>
    </row>
    <row r="1047" spans="1:3" x14ac:dyDescent="0.3">
      <c r="A1047" s="6" t="s">
        <v>722</v>
      </c>
      <c r="B1047" s="8">
        <v>15</v>
      </c>
      <c r="C1047" s="7">
        <f t="shared" si="16"/>
        <v>1.171491691985338</v>
      </c>
    </row>
    <row r="1048" spans="1:3" x14ac:dyDescent="0.3">
      <c r="A1048" s="6" t="s">
        <v>723</v>
      </c>
      <c r="B1048" s="8">
        <v>15</v>
      </c>
      <c r="C1048" s="7">
        <f t="shared" si="16"/>
        <v>1.171491691985338</v>
      </c>
    </row>
    <row r="1049" spans="1:3" x14ac:dyDescent="0.3">
      <c r="A1049" s="6" t="s">
        <v>724</v>
      </c>
      <c r="B1049" s="8">
        <v>15</v>
      </c>
      <c r="C1049" s="7">
        <f t="shared" si="16"/>
        <v>1.171491691985338</v>
      </c>
    </row>
    <row r="1050" spans="1:3" x14ac:dyDescent="0.3">
      <c r="A1050" s="6" t="s">
        <v>1255</v>
      </c>
      <c r="B1050" s="8">
        <v>15</v>
      </c>
      <c r="C1050" s="7">
        <f t="shared" si="16"/>
        <v>1.171491691985338</v>
      </c>
    </row>
    <row r="1051" spans="1:3" x14ac:dyDescent="0.3">
      <c r="A1051" s="6" t="s">
        <v>1256</v>
      </c>
      <c r="B1051" s="8">
        <v>15</v>
      </c>
      <c r="C1051" s="7">
        <f t="shared" si="16"/>
        <v>1.171491691985338</v>
      </c>
    </row>
    <row r="1052" spans="1:3" x14ac:dyDescent="0.3">
      <c r="A1052" s="6" t="s">
        <v>725</v>
      </c>
      <c r="B1052" s="8">
        <v>15</v>
      </c>
      <c r="C1052" s="7">
        <f t="shared" si="16"/>
        <v>1.171491691985338</v>
      </c>
    </row>
    <row r="1053" spans="1:3" x14ac:dyDescent="0.3">
      <c r="A1053" s="6" t="s">
        <v>726</v>
      </c>
      <c r="B1053" s="8">
        <v>15</v>
      </c>
      <c r="C1053" s="7">
        <f t="shared" si="16"/>
        <v>1.171491691985338</v>
      </c>
    </row>
    <row r="1054" spans="1:3" x14ac:dyDescent="0.3">
      <c r="A1054" s="6" t="s">
        <v>727</v>
      </c>
      <c r="B1054" s="8">
        <v>15</v>
      </c>
      <c r="C1054" s="7">
        <f t="shared" si="16"/>
        <v>1.171491691985338</v>
      </c>
    </row>
    <row r="1055" spans="1:3" x14ac:dyDescent="0.3">
      <c r="A1055" s="6" t="s">
        <v>728</v>
      </c>
      <c r="B1055" s="8">
        <v>15</v>
      </c>
      <c r="C1055" s="7">
        <f t="shared" si="16"/>
        <v>1.171491691985338</v>
      </c>
    </row>
    <row r="1056" spans="1:3" x14ac:dyDescent="0.3">
      <c r="A1056" s="6" t="s">
        <v>729</v>
      </c>
      <c r="B1056" s="8">
        <v>15</v>
      </c>
      <c r="C1056" s="7">
        <f t="shared" si="16"/>
        <v>1.171491691985338</v>
      </c>
    </row>
    <row r="1057" spans="1:3" x14ac:dyDescent="0.3">
      <c r="A1057" s="6" t="s">
        <v>1257</v>
      </c>
      <c r="B1057" s="8">
        <v>15</v>
      </c>
      <c r="C1057" s="7">
        <f t="shared" si="16"/>
        <v>1.171491691985338</v>
      </c>
    </row>
    <row r="1058" spans="1:3" x14ac:dyDescent="0.3">
      <c r="A1058" s="6" t="s">
        <v>1258</v>
      </c>
      <c r="B1058" s="8">
        <v>15</v>
      </c>
      <c r="C1058" s="7">
        <f t="shared" si="16"/>
        <v>1.171491691985338</v>
      </c>
    </row>
    <row r="1059" spans="1:3" x14ac:dyDescent="0.3">
      <c r="A1059" s="6" t="s">
        <v>730</v>
      </c>
      <c r="B1059" s="8">
        <v>15</v>
      </c>
      <c r="C1059" s="7">
        <f t="shared" si="16"/>
        <v>1.171491691985338</v>
      </c>
    </row>
    <row r="1060" spans="1:3" x14ac:dyDescent="0.3">
      <c r="A1060" s="6" t="s">
        <v>731</v>
      </c>
      <c r="B1060" s="8">
        <v>15</v>
      </c>
      <c r="C1060" s="7">
        <f t="shared" si="16"/>
        <v>1.171491691985338</v>
      </c>
    </row>
    <row r="1061" spans="1:3" x14ac:dyDescent="0.3">
      <c r="A1061" s="6" t="s">
        <v>732</v>
      </c>
      <c r="B1061" s="8">
        <v>15</v>
      </c>
      <c r="C1061" s="7">
        <f t="shared" si="16"/>
        <v>1.171491691985338</v>
      </c>
    </row>
    <row r="1062" spans="1:3" x14ac:dyDescent="0.3">
      <c r="A1062" s="6" t="s">
        <v>1259</v>
      </c>
      <c r="B1062" s="8">
        <v>15</v>
      </c>
      <c r="C1062" s="7">
        <f t="shared" si="16"/>
        <v>1.171491691985338</v>
      </c>
    </row>
    <row r="1063" spans="1:3" x14ac:dyDescent="0.3">
      <c r="A1063" s="6" t="s">
        <v>733</v>
      </c>
      <c r="B1063" s="8">
        <v>15</v>
      </c>
      <c r="C1063" s="7">
        <f t="shared" si="16"/>
        <v>1.171491691985338</v>
      </c>
    </row>
    <row r="1064" spans="1:3" x14ac:dyDescent="0.3">
      <c r="A1064" s="6" t="s">
        <v>1260</v>
      </c>
      <c r="B1064" s="8">
        <v>15</v>
      </c>
      <c r="C1064" s="7">
        <f t="shared" si="16"/>
        <v>1.171491691985338</v>
      </c>
    </row>
    <row r="1065" spans="1:3" x14ac:dyDescent="0.3">
      <c r="A1065" s="6" t="s">
        <v>1261</v>
      </c>
      <c r="B1065" s="8">
        <v>15</v>
      </c>
      <c r="C1065" s="7">
        <f t="shared" si="16"/>
        <v>1.171491691985338</v>
      </c>
    </row>
    <row r="1066" spans="1:3" x14ac:dyDescent="0.3">
      <c r="A1066" s="6" t="s">
        <v>734</v>
      </c>
      <c r="B1066" s="8">
        <v>15</v>
      </c>
      <c r="C1066" s="7">
        <f t="shared" si="16"/>
        <v>1.171491691985338</v>
      </c>
    </row>
    <row r="1067" spans="1:3" x14ac:dyDescent="0.3">
      <c r="A1067" s="6" t="s">
        <v>735</v>
      </c>
      <c r="B1067" s="8">
        <v>15</v>
      </c>
      <c r="C1067" s="7">
        <f t="shared" si="16"/>
        <v>1.171491691985338</v>
      </c>
    </row>
    <row r="1068" spans="1:3" x14ac:dyDescent="0.3">
      <c r="A1068" s="6" t="s">
        <v>736</v>
      </c>
      <c r="B1068" s="8">
        <v>15</v>
      </c>
      <c r="C1068" s="7">
        <f t="shared" si="16"/>
        <v>1.171491691985338</v>
      </c>
    </row>
    <row r="1069" spans="1:3" x14ac:dyDescent="0.3">
      <c r="A1069" s="6" t="s">
        <v>737</v>
      </c>
      <c r="B1069" s="8">
        <v>15</v>
      </c>
      <c r="C1069" s="7">
        <f t="shared" si="16"/>
        <v>1.171491691985338</v>
      </c>
    </row>
    <row r="1070" spans="1:3" x14ac:dyDescent="0.3">
      <c r="A1070" s="6" t="s">
        <v>738</v>
      </c>
      <c r="B1070" s="8">
        <v>15</v>
      </c>
      <c r="C1070" s="7">
        <f t="shared" si="16"/>
        <v>1.171491691985338</v>
      </c>
    </row>
    <row r="1071" spans="1:3" x14ac:dyDescent="0.3">
      <c r="A1071" s="6" t="s">
        <v>1262</v>
      </c>
      <c r="B1071" s="8">
        <v>15</v>
      </c>
      <c r="C1071" s="7">
        <f t="shared" si="16"/>
        <v>1.171491691985338</v>
      </c>
    </row>
    <row r="1072" spans="1:3" x14ac:dyDescent="0.3">
      <c r="A1072" s="6" t="s">
        <v>1263</v>
      </c>
      <c r="B1072" s="8">
        <v>15</v>
      </c>
      <c r="C1072" s="7">
        <f t="shared" si="16"/>
        <v>1.171491691985338</v>
      </c>
    </row>
    <row r="1073" spans="1:3" x14ac:dyDescent="0.3">
      <c r="A1073" s="6" t="s">
        <v>739</v>
      </c>
      <c r="B1073" s="8">
        <v>15</v>
      </c>
      <c r="C1073" s="7">
        <f t="shared" si="16"/>
        <v>1.171491691985338</v>
      </c>
    </row>
    <row r="1074" spans="1:3" x14ac:dyDescent="0.3">
      <c r="A1074" s="6" t="s">
        <v>740</v>
      </c>
      <c r="B1074" s="8">
        <v>15</v>
      </c>
      <c r="C1074" s="7">
        <f t="shared" si="16"/>
        <v>1.171491691985338</v>
      </c>
    </row>
    <row r="1075" spans="1:3" x14ac:dyDescent="0.3">
      <c r="A1075" s="6" t="s">
        <v>741</v>
      </c>
      <c r="B1075" s="8">
        <v>15</v>
      </c>
      <c r="C1075" s="7">
        <f t="shared" si="16"/>
        <v>1.171491691985338</v>
      </c>
    </row>
    <row r="1076" spans="1:3" x14ac:dyDescent="0.3">
      <c r="A1076" s="6" t="s">
        <v>742</v>
      </c>
      <c r="B1076" s="8">
        <v>15</v>
      </c>
      <c r="C1076" s="7">
        <f t="shared" si="16"/>
        <v>1.171491691985338</v>
      </c>
    </row>
    <row r="1077" spans="1:3" x14ac:dyDescent="0.3">
      <c r="A1077" s="6" t="s">
        <v>743</v>
      </c>
      <c r="B1077" s="8">
        <v>15</v>
      </c>
      <c r="C1077" s="7">
        <f t="shared" si="16"/>
        <v>1.171491691985338</v>
      </c>
    </row>
    <row r="1078" spans="1:3" x14ac:dyDescent="0.3">
      <c r="A1078" s="6" t="s">
        <v>1264</v>
      </c>
      <c r="B1078" s="8">
        <v>15</v>
      </c>
      <c r="C1078" s="7">
        <f t="shared" si="16"/>
        <v>1.171491691985338</v>
      </c>
    </row>
    <row r="1079" spans="1:3" x14ac:dyDescent="0.3">
      <c r="A1079" s="6" t="s">
        <v>1265</v>
      </c>
      <c r="B1079" s="8">
        <v>15</v>
      </c>
      <c r="C1079" s="7">
        <f t="shared" si="16"/>
        <v>1.171491691985338</v>
      </c>
    </row>
    <row r="1080" spans="1:3" x14ac:dyDescent="0.3">
      <c r="A1080" s="6" t="s">
        <v>744</v>
      </c>
      <c r="B1080" s="8">
        <v>15</v>
      </c>
      <c r="C1080" s="7">
        <f t="shared" si="16"/>
        <v>1.171491691985338</v>
      </c>
    </row>
    <row r="1081" spans="1:3" x14ac:dyDescent="0.3">
      <c r="A1081" s="6" t="s">
        <v>745</v>
      </c>
      <c r="B1081" s="8">
        <v>15</v>
      </c>
      <c r="C1081" s="7">
        <f t="shared" si="16"/>
        <v>1.171491691985338</v>
      </c>
    </row>
    <row r="1082" spans="1:3" x14ac:dyDescent="0.3">
      <c r="A1082" s="6" t="s">
        <v>746</v>
      </c>
      <c r="B1082" s="8">
        <v>15</v>
      </c>
      <c r="C1082" s="7">
        <f t="shared" si="16"/>
        <v>1.171491691985338</v>
      </c>
    </row>
    <row r="1083" spans="1:3" x14ac:dyDescent="0.3">
      <c r="A1083" s="6" t="s">
        <v>747</v>
      </c>
      <c r="B1083" s="8">
        <v>15</v>
      </c>
      <c r="C1083" s="7">
        <f t="shared" si="16"/>
        <v>1.171491691985338</v>
      </c>
    </row>
    <row r="1084" spans="1:3" x14ac:dyDescent="0.3">
      <c r="A1084" s="6" t="s">
        <v>748</v>
      </c>
      <c r="B1084" s="8">
        <v>15</v>
      </c>
      <c r="C1084" s="7">
        <f t="shared" si="16"/>
        <v>1.171491691985338</v>
      </c>
    </row>
    <row r="1085" spans="1:3" x14ac:dyDescent="0.3">
      <c r="A1085" s="6" t="s">
        <v>1266</v>
      </c>
      <c r="B1085" s="8">
        <v>15</v>
      </c>
      <c r="C1085" s="7">
        <f t="shared" si="16"/>
        <v>1.171491691985338</v>
      </c>
    </row>
    <row r="1086" spans="1:3" x14ac:dyDescent="0.3">
      <c r="A1086" s="6" t="s">
        <v>1267</v>
      </c>
      <c r="B1086" s="8">
        <v>15</v>
      </c>
      <c r="C1086" s="7">
        <f t="shared" si="16"/>
        <v>1.171491691985338</v>
      </c>
    </row>
    <row r="1087" spans="1:3" x14ac:dyDescent="0.3">
      <c r="A1087" s="6" t="s">
        <v>749</v>
      </c>
      <c r="B1087" s="8">
        <v>15</v>
      </c>
      <c r="C1087" s="7">
        <f t="shared" si="16"/>
        <v>1.171491691985338</v>
      </c>
    </row>
    <row r="1088" spans="1:3" x14ac:dyDescent="0.3">
      <c r="A1088" s="6" t="s">
        <v>750</v>
      </c>
      <c r="B1088" s="8">
        <v>15</v>
      </c>
      <c r="C1088" s="7">
        <f t="shared" si="16"/>
        <v>1.171491691985338</v>
      </c>
    </row>
    <row r="1089" spans="1:3" x14ac:dyDescent="0.3">
      <c r="A1089" s="6" t="s">
        <v>751</v>
      </c>
      <c r="B1089" s="8">
        <v>15</v>
      </c>
      <c r="C1089" s="7">
        <f t="shared" si="16"/>
        <v>1.171491691985338</v>
      </c>
    </row>
    <row r="1090" spans="1:3" x14ac:dyDescent="0.3">
      <c r="A1090" s="6" t="s">
        <v>752</v>
      </c>
      <c r="B1090" s="8">
        <v>15</v>
      </c>
      <c r="C1090" s="7">
        <f t="shared" si="16"/>
        <v>1.171491691985338</v>
      </c>
    </row>
    <row r="1091" spans="1:3" x14ac:dyDescent="0.3">
      <c r="A1091" s="6" t="s">
        <v>753</v>
      </c>
      <c r="B1091" s="8">
        <v>15</v>
      </c>
      <c r="C1091" s="7">
        <f t="shared" si="16"/>
        <v>1.171491691985338</v>
      </c>
    </row>
    <row r="1092" spans="1:3" x14ac:dyDescent="0.3">
      <c r="A1092" s="6" t="s">
        <v>1268</v>
      </c>
      <c r="B1092" s="8">
        <v>15</v>
      </c>
      <c r="C1092" s="7">
        <f t="shared" si="16"/>
        <v>1.171491691985338</v>
      </c>
    </row>
    <row r="1093" spans="1:3" x14ac:dyDescent="0.3">
      <c r="A1093" s="6" t="s">
        <v>1269</v>
      </c>
      <c r="B1093" s="8">
        <v>15</v>
      </c>
      <c r="C1093" s="7">
        <f t="shared" si="16"/>
        <v>1.171491691985338</v>
      </c>
    </row>
    <row r="1094" spans="1:3" x14ac:dyDescent="0.3">
      <c r="A1094" s="6" t="s">
        <v>754</v>
      </c>
      <c r="B1094" s="8">
        <v>15</v>
      </c>
      <c r="C1094" s="7">
        <f t="shared" si="16"/>
        <v>1.171491691985338</v>
      </c>
    </row>
    <row r="1095" spans="1:3" x14ac:dyDescent="0.3">
      <c r="A1095" s="6" t="s">
        <v>755</v>
      </c>
      <c r="B1095" s="8">
        <v>15</v>
      </c>
      <c r="C1095" s="7">
        <f t="shared" si="16"/>
        <v>1.171491691985338</v>
      </c>
    </row>
    <row r="1096" spans="1:3" x14ac:dyDescent="0.3">
      <c r="A1096" s="6" t="s">
        <v>756</v>
      </c>
      <c r="B1096" s="8">
        <v>15</v>
      </c>
      <c r="C1096" s="7">
        <f t="shared" ref="C1096:C1159" si="17">((1+B1096/100)^(1/12)-1)*100</f>
        <v>1.171491691985338</v>
      </c>
    </row>
    <row r="1097" spans="1:3" x14ac:dyDescent="0.3">
      <c r="A1097" s="6" t="s">
        <v>1270</v>
      </c>
      <c r="B1097" s="8">
        <v>15</v>
      </c>
      <c r="C1097" s="7">
        <f t="shared" si="17"/>
        <v>1.171491691985338</v>
      </c>
    </row>
    <row r="1098" spans="1:3" x14ac:dyDescent="0.3">
      <c r="A1098" s="6" t="s">
        <v>757</v>
      </c>
      <c r="B1098" s="8">
        <v>15</v>
      </c>
      <c r="C1098" s="7">
        <f t="shared" si="17"/>
        <v>1.171491691985338</v>
      </c>
    </row>
    <row r="1099" spans="1:3" x14ac:dyDescent="0.3">
      <c r="A1099" s="6" t="s">
        <v>1271</v>
      </c>
      <c r="B1099" s="8">
        <v>15</v>
      </c>
      <c r="C1099" s="7">
        <f t="shared" si="17"/>
        <v>1.171491691985338</v>
      </c>
    </row>
    <row r="1100" spans="1:3" x14ac:dyDescent="0.3">
      <c r="A1100" s="6" t="s">
        <v>1272</v>
      </c>
      <c r="B1100" s="8">
        <v>15</v>
      </c>
      <c r="C1100" s="7">
        <f t="shared" si="17"/>
        <v>1.171491691985338</v>
      </c>
    </row>
    <row r="1101" spans="1:3" x14ac:dyDescent="0.3">
      <c r="A1101" s="6" t="s">
        <v>758</v>
      </c>
      <c r="B1101" s="8">
        <v>15</v>
      </c>
      <c r="C1101" s="7">
        <f t="shared" si="17"/>
        <v>1.171491691985338</v>
      </c>
    </row>
    <row r="1102" spans="1:3" x14ac:dyDescent="0.3">
      <c r="A1102" s="6" t="s">
        <v>759</v>
      </c>
      <c r="B1102" s="8">
        <v>15</v>
      </c>
      <c r="C1102" s="7">
        <f t="shared" si="17"/>
        <v>1.171491691985338</v>
      </c>
    </row>
    <row r="1103" spans="1:3" x14ac:dyDescent="0.3">
      <c r="A1103" s="6" t="s">
        <v>760</v>
      </c>
      <c r="B1103" s="8">
        <v>15</v>
      </c>
      <c r="C1103" s="7">
        <f t="shared" si="17"/>
        <v>1.171491691985338</v>
      </c>
    </row>
    <row r="1104" spans="1:3" x14ac:dyDescent="0.3">
      <c r="A1104" s="6" t="s">
        <v>1273</v>
      </c>
      <c r="B1104" s="8">
        <v>15</v>
      </c>
      <c r="C1104" s="7">
        <f t="shared" si="17"/>
        <v>1.171491691985338</v>
      </c>
    </row>
    <row r="1105" spans="1:3" x14ac:dyDescent="0.3">
      <c r="A1105" s="6" t="s">
        <v>761</v>
      </c>
      <c r="B1105" s="8">
        <v>15</v>
      </c>
      <c r="C1105" s="7">
        <f t="shared" si="17"/>
        <v>1.171491691985338</v>
      </c>
    </row>
    <row r="1106" spans="1:3" x14ac:dyDescent="0.3">
      <c r="A1106" s="6" t="s">
        <v>1274</v>
      </c>
      <c r="B1106" s="8">
        <v>15</v>
      </c>
      <c r="C1106" s="7">
        <f t="shared" si="17"/>
        <v>1.171491691985338</v>
      </c>
    </row>
    <row r="1107" spans="1:3" x14ac:dyDescent="0.3">
      <c r="A1107" s="6" t="s">
        <v>1275</v>
      </c>
      <c r="B1107" s="8">
        <v>15</v>
      </c>
      <c r="C1107" s="7">
        <f t="shared" si="17"/>
        <v>1.171491691985338</v>
      </c>
    </row>
    <row r="1108" spans="1:3" x14ac:dyDescent="0.3">
      <c r="A1108" s="6" t="s">
        <v>762</v>
      </c>
      <c r="B1108" s="8">
        <v>15</v>
      </c>
      <c r="C1108" s="7">
        <f t="shared" si="17"/>
        <v>1.171491691985338</v>
      </c>
    </row>
    <row r="1109" spans="1:3" x14ac:dyDescent="0.3">
      <c r="A1109" s="6" t="s">
        <v>763</v>
      </c>
      <c r="B1109" s="8">
        <v>15</v>
      </c>
      <c r="C1109" s="7">
        <f t="shared" si="17"/>
        <v>1.171491691985338</v>
      </c>
    </row>
    <row r="1110" spans="1:3" x14ac:dyDescent="0.3">
      <c r="A1110" s="6" t="s">
        <v>764</v>
      </c>
      <c r="B1110" s="8">
        <v>15</v>
      </c>
      <c r="C1110" s="7">
        <f t="shared" si="17"/>
        <v>1.171491691985338</v>
      </c>
    </row>
    <row r="1111" spans="1:3" x14ac:dyDescent="0.3">
      <c r="A1111" s="6" t="s">
        <v>765</v>
      </c>
      <c r="B1111" s="8">
        <v>15</v>
      </c>
      <c r="C1111" s="7">
        <f t="shared" si="17"/>
        <v>1.171491691985338</v>
      </c>
    </row>
    <row r="1112" spans="1:3" x14ac:dyDescent="0.3">
      <c r="A1112" s="6" t="s">
        <v>766</v>
      </c>
      <c r="B1112" s="8">
        <v>15</v>
      </c>
      <c r="C1112" s="7">
        <f t="shared" si="17"/>
        <v>1.171491691985338</v>
      </c>
    </row>
    <row r="1113" spans="1:3" x14ac:dyDescent="0.3">
      <c r="A1113" s="6" t="s">
        <v>1276</v>
      </c>
      <c r="B1113" s="8">
        <v>15</v>
      </c>
      <c r="C1113" s="7">
        <f t="shared" si="17"/>
        <v>1.171491691985338</v>
      </c>
    </row>
    <row r="1114" spans="1:3" x14ac:dyDescent="0.3">
      <c r="A1114" s="6" t="s">
        <v>1277</v>
      </c>
      <c r="B1114" s="8">
        <v>15</v>
      </c>
      <c r="C1114" s="7">
        <f t="shared" si="17"/>
        <v>1.171491691985338</v>
      </c>
    </row>
    <row r="1115" spans="1:3" x14ac:dyDescent="0.3">
      <c r="A1115" s="6" t="s">
        <v>767</v>
      </c>
      <c r="B1115" s="8">
        <v>15</v>
      </c>
      <c r="C1115" s="7">
        <f t="shared" si="17"/>
        <v>1.171491691985338</v>
      </c>
    </row>
    <row r="1116" spans="1:3" x14ac:dyDescent="0.3">
      <c r="A1116" s="6" t="s">
        <v>768</v>
      </c>
      <c r="B1116" s="8">
        <v>15</v>
      </c>
      <c r="C1116" s="7">
        <f t="shared" si="17"/>
        <v>1.171491691985338</v>
      </c>
    </row>
    <row r="1117" spans="1:3" x14ac:dyDescent="0.3">
      <c r="A1117" s="6" t="s">
        <v>769</v>
      </c>
      <c r="B1117" s="8">
        <v>15</v>
      </c>
      <c r="C1117" s="7">
        <f t="shared" si="17"/>
        <v>1.171491691985338</v>
      </c>
    </row>
    <row r="1118" spans="1:3" x14ac:dyDescent="0.3">
      <c r="A1118" s="6" t="s">
        <v>770</v>
      </c>
      <c r="B1118" s="8">
        <v>15</v>
      </c>
      <c r="C1118" s="7">
        <f t="shared" si="17"/>
        <v>1.171491691985338</v>
      </c>
    </row>
    <row r="1119" spans="1:3" x14ac:dyDescent="0.3">
      <c r="A1119" s="6" t="s">
        <v>771</v>
      </c>
      <c r="B1119" s="8">
        <v>15</v>
      </c>
      <c r="C1119" s="7">
        <f t="shared" si="17"/>
        <v>1.171491691985338</v>
      </c>
    </row>
    <row r="1120" spans="1:3" x14ac:dyDescent="0.3">
      <c r="A1120" s="6" t="s">
        <v>1278</v>
      </c>
      <c r="B1120" s="8">
        <v>15</v>
      </c>
      <c r="C1120" s="7">
        <f t="shared" si="17"/>
        <v>1.171491691985338</v>
      </c>
    </row>
    <row r="1121" spans="1:3" x14ac:dyDescent="0.3">
      <c r="A1121" s="6" t="s">
        <v>1279</v>
      </c>
      <c r="B1121" s="8">
        <v>15</v>
      </c>
      <c r="C1121" s="7">
        <f t="shared" si="17"/>
        <v>1.171491691985338</v>
      </c>
    </row>
    <row r="1122" spans="1:3" x14ac:dyDescent="0.3">
      <c r="A1122" s="6" t="s">
        <v>772</v>
      </c>
      <c r="B1122" s="8">
        <v>15</v>
      </c>
      <c r="C1122" s="7">
        <f t="shared" si="17"/>
        <v>1.171491691985338</v>
      </c>
    </row>
    <row r="1123" spans="1:3" x14ac:dyDescent="0.3">
      <c r="A1123" s="6" t="s">
        <v>773</v>
      </c>
      <c r="B1123" s="8">
        <v>15</v>
      </c>
      <c r="C1123" s="7">
        <f t="shared" si="17"/>
        <v>1.171491691985338</v>
      </c>
    </row>
    <row r="1124" spans="1:3" x14ac:dyDescent="0.3">
      <c r="A1124" s="6" t="s">
        <v>774</v>
      </c>
      <c r="B1124" s="8">
        <v>15</v>
      </c>
      <c r="C1124" s="7">
        <f t="shared" si="17"/>
        <v>1.171491691985338</v>
      </c>
    </row>
    <row r="1125" spans="1:3" x14ac:dyDescent="0.3">
      <c r="A1125" s="6" t="s">
        <v>775</v>
      </c>
      <c r="B1125" s="8">
        <v>15</v>
      </c>
      <c r="C1125" s="7">
        <f t="shared" si="17"/>
        <v>1.171491691985338</v>
      </c>
    </row>
    <row r="1126" spans="1:3" x14ac:dyDescent="0.3">
      <c r="A1126" s="6" t="s">
        <v>776</v>
      </c>
      <c r="B1126" s="8">
        <v>15</v>
      </c>
      <c r="C1126" s="7">
        <f t="shared" si="17"/>
        <v>1.171491691985338</v>
      </c>
    </row>
    <row r="1127" spans="1:3" x14ac:dyDescent="0.3">
      <c r="A1127" s="6" t="s">
        <v>1280</v>
      </c>
      <c r="B1127" s="8">
        <v>15</v>
      </c>
      <c r="C1127" s="7">
        <f t="shared" si="17"/>
        <v>1.171491691985338</v>
      </c>
    </row>
    <row r="1128" spans="1:3" x14ac:dyDescent="0.3">
      <c r="A1128" s="6" t="s">
        <v>1281</v>
      </c>
      <c r="B1128" s="8">
        <v>15</v>
      </c>
      <c r="C1128" s="7">
        <f t="shared" si="17"/>
        <v>1.171491691985338</v>
      </c>
    </row>
    <row r="1129" spans="1:3" x14ac:dyDescent="0.3">
      <c r="A1129" s="6" t="s">
        <v>777</v>
      </c>
      <c r="B1129" s="8">
        <v>15</v>
      </c>
      <c r="C1129" s="7">
        <f t="shared" si="17"/>
        <v>1.171491691985338</v>
      </c>
    </row>
    <row r="1130" spans="1:3" x14ac:dyDescent="0.3">
      <c r="A1130" s="6" t="s">
        <v>778</v>
      </c>
      <c r="B1130" s="8">
        <v>15</v>
      </c>
      <c r="C1130" s="7">
        <f t="shared" si="17"/>
        <v>1.171491691985338</v>
      </c>
    </row>
    <row r="1131" spans="1:3" x14ac:dyDescent="0.3">
      <c r="A1131" s="6" t="s">
        <v>779</v>
      </c>
      <c r="B1131" s="8">
        <v>15</v>
      </c>
      <c r="C1131" s="7">
        <f t="shared" si="17"/>
        <v>1.171491691985338</v>
      </c>
    </row>
    <row r="1132" spans="1:3" x14ac:dyDescent="0.3">
      <c r="A1132" s="6" t="s">
        <v>780</v>
      </c>
      <c r="B1132" s="8">
        <v>15</v>
      </c>
      <c r="C1132" s="7">
        <f t="shared" si="17"/>
        <v>1.171491691985338</v>
      </c>
    </row>
    <row r="1133" spans="1:3" x14ac:dyDescent="0.3">
      <c r="A1133" s="6" t="s">
        <v>781</v>
      </c>
      <c r="B1133" s="8">
        <v>15</v>
      </c>
      <c r="C1133" s="7">
        <f t="shared" si="17"/>
        <v>1.171491691985338</v>
      </c>
    </row>
    <row r="1134" spans="1:3" x14ac:dyDescent="0.3">
      <c r="A1134" s="6" t="s">
        <v>1282</v>
      </c>
      <c r="B1134" s="8">
        <v>15</v>
      </c>
      <c r="C1134" s="7">
        <f t="shared" si="17"/>
        <v>1.171491691985338</v>
      </c>
    </row>
    <row r="1135" spans="1:3" x14ac:dyDescent="0.3">
      <c r="A1135" s="6" t="s">
        <v>1283</v>
      </c>
      <c r="B1135" s="8">
        <v>15</v>
      </c>
      <c r="C1135" s="7">
        <f t="shared" si="17"/>
        <v>1.171491691985338</v>
      </c>
    </row>
    <row r="1136" spans="1:3" x14ac:dyDescent="0.3">
      <c r="A1136" s="6" t="s">
        <v>782</v>
      </c>
      <c r="B1136" s="8">
        <v>15</v>
      </c>
      <c r="C1136" s="7">
        <f t="shared" si="17"/>
        <v>1.171491691985338</v>
      </c>
    </row>
    <row r="1137" spans="1:3" x14ac:dyDescent="0.3">
      <c r="A1137" s="6" t="s">
        <v>783</v>
      </c>
      <c r="B1137" s="8">
        <v>15</v>
      </c>
      <c r="C1137" s="7">
        <f t="shared" si="17"/>
        <v>1.171491691985338</v>
      </c>
    </row>
    <row r="1138" spans="1:3" x14ac:dyDescent="0.3">
      <c r="A1138" s="6" t="s">
        <v>784</v>
      </c>
      <c r="B1138" s="8">
        <v>15</v>
      </c>
      <c r="C1138" s="7">
        <f t="shared" si="17"/>
        <v>1.171491691985338</v>
      </c>
    </row>
    <row r="1139" spans="1:3" x14ac:dyDescent="0.3">
      <c r="A1139" s="6" t="s">
        <v>785</v>
      </c>
      <c r="B1139" s="8">
        <v>15</v>
      </c>
      <c r="C1139" s="7">
        <f t="shared" si="17"/>
        <v>1.171491691985338</v>
      </c>
    </row>
    <row r="1140" spans="1:3" x14ac:dyDescent="0.3">
      <c r="A1140" s="6" t="s">
        <v>786</v>
      </c>
      <c r="B1140" s="8">
        <v>15</v>
      </c>
      <c r="C1140" s="7">
        <f t="shared" si="17"/>
        <v>1.171491691985338</v>
      </c>
    </row>
    <row r="1141" spans="1:3" x14ac:dyDescent="0.3">
      <c r="A1141" s="6" t="s">
        <v>1284</v>
      </c>
      <c r="B1141" s="8">
        <v>15</v>
      </c>
      <c r="C1141" s="7">
        <f t="shared" si="17"/>
        <v>1.171491691985338</v>
      </c>
    </row>
    <row r="1142" spans="1:3" x14ac:dyDescent="0.3">
      <c r="A1142" s="6" t="s">
        <v>1285</v>
      </c>
      <c r="B1142" s="8">
        <v>15</v>
      </c>
      <c r="C1142" s="7">
        <f t="shared" si="17"/>
        <v>1.171491691985338</v>
      </c>
    </row>
    <row r="1143" spans="1:3" x14ac:dyDescent="0.3">
      <c r="A1143" s="6" t="s">
        <v>787</v>
      </c>
      <c r="B1143" s="8">
        <v>15</v>
      </c>
      <c r="C1143" s="7">
        <f t="shared" si="17"/>
        <v>1.171491691985338</v>
      </c>
    </row>
    <row r="1144" spans="1:3" x14ac:dyDescent="0.3">
      <c r="A1144" s="6" t="s">
        <v>788</v>
      </c>
      <c r="B1144" s="8">
        <v>15</v>
      </c>
      <c r="C1144" s="7">
        <f t="shared" si="17"/>
        <v>1.171491691985338</v>
      </c>
    </row>
    <row r="1145" spans="1:3" x14ac:dyDescent="0.3">
      <c r="A1145" s="6" t="s">
        <v>789</v>
      </c>
      <c r="B1145" s="8">
        <v>15</v>
      </c>
      <c r="C1145" s="7">
        <f t="shared" si="17"/>
        <v>1.171491691985338</v>
      </c>
    </row>
    <row r="1146" spans="1:3" x14ac:dyDescent="0.3">
      <c r="A1146" s="6" t="s">
        <v>790</v>
      </c>
      <c r="B1146" s="8">
        <v>15</v>
      </c>
      <c r="C1146" s="7">
        <f t="shared" si="17"/>
        <v>1.171491691985338</v>
      </c>
    </row>
    <row r="1147" spans="1:3" x14ac:dyDescent="0.3">
      <c r="A1147" s="6" t="s">
        <v>791</v>
      </c>
      <c r="B1147" s="8">
        <v>15</v>
      </c>
      <c r="C1147" s="7">
        <f t="shared" si="17"/>
        <v>1.171491691985338</v>
      </c>
    </row>
    <row r="1148" spans="1:3" x14ac:dyDescent="0.3">
      <c r="A1148" s="6" t="s">
        <v>1286</v>
      </c>
      <c r="B1148" s="8">
        <v>15</v>
      </c>
      <c r="C1148" s="7">
        <f t="shared" si="17"/>
        <v>1.171491691985338</v>
      </c>
    </row>
    <row r="1149" spans="1:3" x14ac:dyDescent="0.3">
      <c r="A1149" s="6" t="s">
        <v>1287</v>
      </c>
      <c r="B1149" s="8">
        <v>15</v>
      </c>
      <c r="C1149" s="7">
        <f t="shared" si="17"/>
        <v>1.171491691985338</v>
      </c>
    </row>
    <row r="1150" spans="1:3" x14ac:dyDescent="0.3">
      <c r="A1150" s="6" t="s">
        <v>1288</v>
      </c>
      <c r="B1150" s="8">
        <v>15</v>
      </c>
      <c r="C1150" s="7">
        <f t="shared" si="17"/>
        <v>1.171491691985338</v>
      </c>
    </row>
    <row r="1151" spans="1:3" x14ac:dyDescent="0.3">
      <c r="A1151" s="6" t="s">
        <v>1289</v>
      </c>
      <c r="B1151" s="8">
        <v>15</v>
      </c>
      <c r="C1151" s="7">
        <f t="shared" si="17"/>
        <v>1.171491691985338</v>
      </c>
    </row>
    <row r="1152" spans="1:3" x14ac:dyDescent="0.3">
      <c r="A1152" s="6" t="s">
        <v>792</v>
      </c>
      <c r="B1152" s="8">
        <v>15</v>
      </c>
      <c r="C1152" s="7">
        <f t="shared" si="17"/>
        <v>1.171491691985338</v>
      </c>
    </row>
    <row r="1153" spans="1:3" x14ac:dyDescent="0.3">
      <c r="A1153" s="6" t="s">
        <v>793</v>
      </c>
      <c r="B1153" s="8">
        <v>15</v>
      </c>
      <c r="C1153" s="7">
        <f t="shared" si="17"/>
        <v>1.171491691985338</v>
      </c>
    </row>
    <row r="1154" spans="1:3" x14ac:dyDescent="0.3">
      <c r="A1154" s="6" t="s">
        <v>794</v>
      </c>
      <c r="B1154" s="8">
        <v>15</v>
      </c>
      <c r="C1154" s="7">
        <f t="shared" si="17"/>
        <v>1.171491691985338</v>
      </c>
    </row>
    <row r="1155" spans="1:3" x14ac:dyDescent="0.3">
      <c r="A1155" s="6" t="s">
        <v>1290</v>
      </c>
      <c r="B1155" s="8">
        <v>15</v>
      </c>
      <c r="C1155" s="7">
        <f t="shared" si="17"/>
        <v>1.171491691985338</v>
      </c>
    </row>
    <row r="1156" spans="1:3" x14ac:dyDescent="0.3">
      <c r="A1156" s="6" t="s">
        <v>1291</v>
      </c>
      <c r="B1156" s="8">
        <v>15</v>
      </c>
      <c r="C1156" s="7">
        <f t="shared" si="17"/>
        <v>1.171491691985338</v>
      </c>
    </row>
    <row r="1157" spans="1:3" x14ac:dyDescent="0.3">
      <c r="A1157" s="6" t="s">
        <v>795</v>
      </c>
      <c r="B1157" s="8">
        <v>15</v>
      </c>
      <c r="C1157" s="7">
        <f t="shared" si="17"/>
        <v>1.171491691985338</v>
      </c>
    </row>
    <row r="1158" spans="1:3" x14ac:dyDescent="0.3">
      <c r="A1158" s="6" t="s">
        <v>796</v>
      </c>
      <c r="B1158" s="8">
        <v>15</v>
      </c>
      <c r="C1158" s="7">
        <f t="shared" si="17"/>
        <v>1.171491691985338</v>
      </c>
    </row>
    <row r="1159" spans="1:3" x14ac:dyDescent="0.3">
      <c r="A1159" s="6" t="s">
        <v>797</v>
      </c>
      <c r="B1159" s="8">
        <v>15</v>
      </c>
      <c r="C1159" s="7">
        <f t="shared" si="17"/>
        <v>1.171491691985338</v>
      </c>
    </row>
    <row r="1160" spans="1:3" x14ac:dyDescent="0.3">
      <c r="A1160" s="6" t="s">
        <v>798</v>
      </c>
      <c r="B1160" s="8">
        <v>15</v>
      </c>
      <c r="C1160" s="7">
        <f t="shared" ref="C1160:C1223" si="18">((1+B1160/100)^(1/12)-1)*100</f>
        <v>1.171491691985338</v>
      </c>
    </row>
    <row r="1161" spans="1:3" x14ac:dyDescent="0.3">
      <c r="A1161" s="6" t="s">
        <v>799</v>
      </c>
      <c r="B1161" s="8">
        <v>15</v>
      </c>
      <c r="C1161" s="7">
        <f t="shared" si="18"/>
        <v>1.171491691985338</v>
      </c>
    </row>
    <row r="1162" spans="1:3" x14ac:dyDescent="0.3">
      <c r="A1162" s="6" t="s">
        <v>1292</v>
      </c>
      <c r="B1162" s="8">
        <v>15</v>
      </c>
      <c r="C1162" s="7">
        <f t="shared" si="18"/>
        <v>1.171491691985338</v>
      </c>
    </row>
    <row r="1163" spans="1:3" x14ac:dyDescent="0.3">
      <c r="A1163" s="6" t="s">
        <v>1293</v>
      </c>
      <c r="B1163" s="8">
        <v>15</v>
      </c>
      <c r="C1163" s="7">
        <f t="shared" si="18"/>
        <v>1.171491691985338</v>
      </c>
    </row>
    <row r="1164" spans="1:3" x14ac:dyDescent="0.3">
      <c r="A1164" s="6" t="s">
        <v>800</v>
      </c>
      <c r="B1164" s="8">
        <v>15</v>
      </c>
      <c r="C1164" s="7">
        <f t="shared" si="18"/>
        <v>1.171491691985338</v>
      </c>
    </row>
    <row r="1165" spans="1:3" x14ac:dyDescent="0.3">
      <c r="A1165" s="6" t="s">
        <v>801</v>
      </c>
      <c r="B1165" s="8">
        <v>15</v>
      </c>
      <c r="C1165" s="7">
        <f t="shared" si="18"/>
        <v>1.171491691985338</v>
      </c>
    </row>
    <row r="1166" spans="1:3" x14ac:dyDescent="0.3">
      <c r="A1166" s="6" t="s">
        <v>802</v>
      </c>
      <c r="B1166" s="8">
        <v>15</v>
      </c>
      <c r="C1166" s="7">
        <f t="shared" si="18"/>
        <v>1.171491691985338</v>
      </c>
    </row>
    <row r="1167" spans="1:3" x14ac:dyDescent="0.3">
      <c r="A1167" s="6" t="s">
        <v>803</v>
      </c>
      <c r="B1167" s="8">
        <v>15</v>
      </c>
      <c r="C1167" s="7">
        <f t="shared" si="18"/>
        <v>1.171491691985338</v>
      </c>
    </row>
    <row r="1168" spans="1:3" x14ac:dyDescent="0.3">
      <c r="A1168" s="6" t="s">
        <v>804</v>
      </c>
      <c r="B1168" s="8">
        <v>15</v>
      </c>
      <c r="C1168" s="7">
        <f t="shared" si="18"/>
        <v>1.171491691985338</v>
      </c>
    </row>
    <row r="1169" spans="1:3" x14ac:dyDescent="0.3">
      <c r="A1169" s="6" t="s">
        <v>1294</v>
      </c>
      <c r="B1169" s="8">
        <v>15</v>
      </c>
      <c r="C1169" s="7">
        <f t="shared" si="18"/>
        <v>1.171491691985338</v>
      </c>
    </row>
    <row r="1170" spans="1:3" x14ac:dyDescent="0.3">
      <c r="A1170" s="6" t="s">
        <v>1295</v>
      </c>
      <c r="B1170" s="8">
        <v>15</v>
      </c>
      <c r="C1170" s="7">
        <f t="shared" si="18"/>
        <v>1.171491691985338</v>
      </c>
    </row>
    <row r="1171" spans="1:3" x14ac:dyDescent="0.3">
      <c r="A1171" s="6" t="s">
        <v>805</v>
      </c>
      <c r="B1171" s="8">
        <v>15</v>
      </c>
      <c r="C1171" s="7">
        <f t="shared" si="18"/>
        <v>1.171491691985338</v>
      </c>
    </row>
    <row r="1172" spans="1:3" x14ac:dyDescent="0.3">
      <c r="A1172" s="6" t="s">
        <v>806</v>
      </c>
      <c r="B1172" s="8">
        <v>15</v>
      </c>
      <c r="C1172" s="7">
        <f t="shared" si="18"/>
        <v>1.171491691985338</v>
      </c>
    </row>
    <row r="1173" spans="1:3" x14ac:dyDescent="0.3">
      <c r="A1173" s="6" t="s">
        <v>807</v>
      </c>
      <c r="B1173" s="8">
        <v>15</v>
      </c>
      <c r="C1173" s="7">
        <f t="shared" si="18"/>
        <v>1.171491691985338</v>
      </c>
    </row>
    <row r="1174" spans="1:3" x14ac:dyDescent="0.3">
      <c r="A1174" s="6" t="s">
        <v>808</v>
      </c>
      <c r="B1174" s="8">
        <v>15</v>
      </c>
      <c r="C1174" s="7">
        <f t="shared" si="18"/>
        <v>1.171491691985338</v>
      </c>
    </row>
    <row r="1175" spans="1:3" x14ac:dyDescent="0.3">
      <c r="A1175" s="6" t="s">
        <v>809</v>
      </c>
      <c r="B1175" s="8">
        <v>15</v>
      </c>
      <c r="C1175" s="7">
        <f t="shared" si="18"/>
        <v>1.171491691985338</v>
      </c>
    </row>
    <row r="1176" spans="1:3" x14ac:dyDescent="0.3">
      <c r="A1176" s="6" t="s">
        <v>1296</v>
      </c>
      <c r="B1176" s="8">
        <v>15</v>
      </c>
      <c r="C1176" s="7">
        <f t="shared" si="18"/>
        <v>1.171491691985338</v>
      </c>
    </row>
    <row r="1177" spans="1:3" x14ac:dyDescent="0.3">
      <c r="A1177" s="6" t="s">
        <v>1297</v>
      </c>
      <c r="B1177" s="8">
        <v>15</v>
      </c>
      <c r="C1177" s="7">
        <f t="shared" si="18"/>
        <v>1.171491691985338</v>
      </c>
    </row>
    <row r="1178" spans="1:3" x14ac:dyDescent="0.3">
      <c r="A1178" s="6" t="s">
        <v>810</v>
      </c>
      <c r="B1178" s="8">
        <v>15</v>
      </c>
      <c r="C1178" s="7">
        <f t="shared" si="18"/>
        <v>1.171491691985338</v>
      </c>
    </row>
    <row r="1179" spans="1:3" x14ac:dyDescent="0.3">
      <c r="A1179" s="6" t="s">
        <v>811</v>
      </c>
      <c r="B1179" s="8">
        <v>15</v>
      </c>
      <c r="C1179" s="7">
        <f t="shared" si="18"/>
        <v>1.171491691985338</v>
      </c>
    </row>
    <row r="1180" spans="1:3" x14ac:dyDescent="0.3">
      <c r="A1180" s="6" t="s">
        <v>812</v>
      </c>
      <c r="B1180" s="8">
        <v>15</v>
      </c>
      <c r="C1180" s="7">
        <f t="shared" si="18"/>
        <v>1.171491691985338</v>
      </c>
    </row>
    <row r="1181" spans="1:3" x14ac:dyDescent="0.3">
      <c r="A1181" s="6" t="s">
        <v>813</v>
      </c>
      <c r="B1181" s="8">
        <v>14.75</v>
      </c>
      <c r="C1181" s="7">
        <f t="shared" si="18"/>
        <v>1.1531452360343364</v>
      </c>
    </row>
    <row r="1182" spans="1:3" x14ac:dyDescent="0.3">
      <c r="A1182" s="6" t="s">
        <v>814</v>
      </c>
      <c r="B1182" s="8">
        <v>14.75</v>
      </c>
      <c r="C1182" s="7">
        <f t="shared" si="18"/>
        <v>1.1531452360343364</v>
      </c>
    </row>
    <row r="1183" spans="1:3" x14ac:dyDescent="0.3">
      <c r="A1183" s="6" t="s">
        <v>1298</v>
      </c>
      <c r="B1183" s="8">
        <v>14.75</v>
      </c>
      <c r="C1183" s="7">
        <f t="shared" si="18"/>
        <v>1.1531452360343364</v>
      </c>
    </row>
    <row r="1184" spans="1:3" x14ac:dyDescent="0.3">
      <c r="A1184" s="6" t="s">
        <v>1299</v>
      </c>
      <c r="B1184" s="8">
        <v>14.75</v>
      </c>
      <c r="C1184" s="7">
        <f t="shared" si="18"/>
        <v>1.1531452360343364</v>
      </c>
    </row>
    <row r="1185" spans="1:3" x14ac:dyDescent="0.3">
      <c r="A1185" s="6" t="s">
        <v>815</v>
      </c>
      <c r="B1185" s="8">
        <v>14.75</v>
      </c>
      <c r="C1185" s="7">
        <f t="shared" si="18"/>
        <v>1.1531452360343364</v>
      </c>
    </row>
    <row r="1186" spans="1:3" x14ac:dyDescent="0.3">
      <c r="A1186" s="6" t="s">
        <v>816</v>
      </c>
      <c r="B1186" s="8">
        <v>14.75</v>
      </c>
      <c r="C1186" s="7">
        <f t="shared" si="18"/>
        <v>1.1531452360343364</v>
      </c>
    </row>
    <row r="1187" spans="1:3" x14ac:dyDescent="0.3">
      <c r="A1187" s="6" t="s">
        <v>817</v>
      </c>
      <c r="B1187" s="8">
        <v>14.75</v>
      </c>
      <c r="C1187" s="7">
        <f t="shared" si="18"/>
        <v>1.1531452360343364</v>
      </c>
    </row>
    <row r="1188" spans="1:3" x14ac:dyDescent="0.3">
      <c r="A1188" s="6" t="s">
        <v>818</v>
      </c>
      <c r="B1188" s="8">
        <v>14.75</v>
      </c>
      <c r="C1188" s="7">
        <f t="shared" si="18"/>
        <v>1.1531452360343364</v>
      </c>
    </row>
    <row r="1189" spans="1:3" x14ac:dyDescent="0.3">
      <c r="A1189" s="6" t="s">
        <v>819</v>
      </c>
      <c r="B1189" s="8">
        <v>14.75</v>
      </c>
      <c r="C1189" s="7">
        <f t="shared" si="18"/>
        <v>1.1531452360343364</v>
      </c>
    </row>
    <row r="1190" spans="1:3" x14ac:dyDescent="0.3">
      <c r="A1190" s="6" t="s">
        <v>1300</v>
      </c>
      <c r="B1190" s="8">
        <v>14.75</v>
      </c>
      <c r="C1190" s="7">
        <f t="shared" si="18"/>
        <v>1.1531452360343364</v>
      </c>
    </row>
    <row r="1191" spans="1:3" x14ac:dyDescent="0.3">
      <c r="A1191" s="6" t="s">
        <v>1301</v>
      </c>
      <c r="B1191" s="8">
        <v>14.75</v>
      </c>
      <c r="C1191" s="7">
        <f t="shared" si="18"/>
        <v>1.1531452360343364</v>
      </c>
    </row>
    <row r="1192" spans="1:3" x14ac:dyDescent="0.3">
      <c r="A1192" s="6" t="s">
        <v>820</v>
      </c>
      <c r="B1192" s="8">
        <v>14.75</v>
      </c>
      <c r="C1192" s="7">
        <f t="shared" si="18"/>
        <v>1.1531452360343364</v>
      </c>
    </row>
    <row r="1193" spans="1:3" x14ac:dyDescent="0.3">
      <c r="A1193" s="6" t="s">
        <v>821</v>
      </c>
      <c r="B1193" s="8">
        <v>14.75</v>
      </c>
      <c r="C1193" s="7">
        <f t="shared" si="18"/>
        <v>1.1531452360343364</v>
      </c>
    </row>
    <row r="1194" spans="1:3" x14ac:dyDescent="0.3">
      <c r="A1194" s="6" t="s">
        <v>822</v>
      </c>
      <c r="B1194" s="8">
        <v>14.75</v>
      </c>
      <c r="C1194" s="7">
        <f t="shared" si="18"/>
        <v>1.1531452360343364</v>
      </c>
    </row>
    <row r="1195" spans="1:3" x14ac:dyDescent="0.3">
      <c r="A1195" s="6" t="s">
        <v>823</v>
      </c>
      <c r="B1195" s="8">
        <v>14.75</v>
      </c>
      <c r="C1195" s="7">
        <f t="shared" si="18"/>
        <v>1.1531452360343364</v>
      </c>
    </row>
    <row r="1196" spans="1:3" x14ac:dyDescent="0.3">
      <c r="A1196" s="6" t="s">
        <v>1302</v>
      </c>
      <c r="B1196" s="8">
        <v>14.75</v>
      </c>
      <c r="C1196" s="7">
        <f t="shared" si="18"/>
        <v>1.1531452360343364</v>
      </c>
    </row>
    <row r="1197" spans="1:3" x14ac:dyDescent="0.3">
      <c r="A1197" s="6" t="s">
        <v>1303</v>
      </c>
      <c r="B1197" s="8">
        <v>14.75</v>
      </c>
      <c r="C1197" s="7">
        <f t="shared" si="18"/>
        <v>1.1531452360343364</v>
      </c>
    </row>
    <row r="1198" spans="1:3" x14ac:dyDescent="0.3">
      <c r="A1198" s="6" t="s">
        <v>1304</v>
      </c>
      <c r="B1198" s="8">
        <v>14.75</v>
      </c>
      <c r="C1198" s="7">
        <f t="shared" si="18"/>
        <v>1.1531452360343364</v>
      </c>
    </row>
    <row r="1199" spans="1:3" x14ac:dyDescent="0.3">
      <c r="A1199" s="6" t="s">
        <v>824</v>
      </c>
      <c r="B1199" s="8">
        <v>14.75</v>
      </c>
      <c r="C1199" s="7">
        <f t="shared" si="18"/>
        <v>1.1531452360343364</v>
      </c>
    </row>
    <row r="1200" spans="1:3" x14ac:dyDescent="0.3">
      <c r="A1200" s="6" t="s">
        <v>825</v>
      </c>
      <c r="B1200" s="8">
        <v>14.75</v>
      </c>
      <c r="C1200" s="7">
        <f t="shared" si="18"/>
        <v>1.1531452360343364</v>
      </c>
    </row>
    <row r="1201" spans="1:3" x14ac:dyDescent="0.3">
      <c r="A1201" s="6" t="s">
        <v>826</v>
      </c>
      <c r="B1201" s="8">
        <v>14.75</v>
      </c>
      <c r="C1201" s="7">
        <f t="shared" si="18"/>
        <v>1.1531452360343364</v>
      </c>
    </row>
    <row r="1202" spans="1:3" x14ac:dyDescent="0.3">
      <c r="A1202" s="6" t="s">
        <v>827</v>
      </c>
      <c r="B1202" s="8">
        <v>14.75</v>
      </c>
      <c r="C1202" s="7">
        <f t="shared" si="18"/>
        <v>1.1531452360343364</v>
      </c>
    </row>
    <row r="1203" spans="1:3" x14ac:dyDescent="0.3">
      <c r="A1203" s="6" t="s">
        <v>828</v>
      </c>
      <c r="B1203" s="8">
        <v>14.75</v>
      </c>
      <c r="C1203" s="7">
        <f t="shared" si="18"/>
        <v>1.1531452360343364</v>
      </c>
    </row>
    <row r="1204" spans="1:3" x14ac:dyDescent="0.3">
      <c r="A1204" s="6" t="s">
        <v>1305</v>
      </c>
      <c r="B1204" s="8">
        <v>14.75</v>
      </c>
      <c r="C1204" s="7">
        <f t="shared" si="18"/>
        <v>1.1531452360343364</v>
      </c>
    </row>
    <row r="1205" spans="1:3" x14ac:dyDescent="0.3">
      <c r="A1205" s="6" t="s">
        <v>1306</v>
      </c>
      <c r="B1205" s="8">
        <v>14.75</v>
      </c>
      <c r="C1205" s="7">
        <f t="shared" si="18"/>
        <v>1.1531452360343364</v>
      </c>
    </row>
    <row r="1206" spans="1:3" x14ac:dyDescent="0.3">
      <c r="A1206" s="6" t="s">
        <v>829</v>
      </c>
      <c r="B1206" s="8">
        <v>14.75</v>
      </c>
      <c r="C1206" s="7">
        <f t="shared" si="18"/>
        <v>1.1531452360343364</v>
      </c>
    </row>
    <row r="1207" spans="1:3" x14ac:dyDescent="0.3">
      <c r="A1207" s="6" t="s">
        <v>830</v>
      </c>
      <c r="B1207" s="8">
        <v>14.75</v>
      </c>
      <c r="C1207" s="7">
        <f t="shared" si="18"/>
        <v>1.1531452360343364</v>
      </c>
    </row>
    <row r="1208" spans="1:3" x14ac:dyDescent="0.3">
      <c r="A1208" s="6" t="s">
        <v>831</v>
      </c>
      <c r="B1208" s="8">
        <v>14.75</v>
      </c>
      <c r="C1208" s="7">
        <f t="shared" si="18"/>
        <v>1.1531452360343364</v>
      </c>
    </row>
    <row r="1209" spans="1:3" x14ac:dyDescent="0.3">
      <c r="A1209" s="6" t="s">
        <v>832</v>
      </c>
      <c r="B1209" s="8">
        <v>14.75</v>
      </c>
      <c r="C1209" s="7">
        <f t="shared" si="18"/>
        <v>1.1531452360343364</v>
      </c>
    </row>
    <row r="1210" spans="1:3" x14ac:dyDescent="0.3">
      <c r="A1210" s="6" t="s">
        <v>833</v>
      </c>
      <c r="B1210" s="8">
        <v>14.75</v>
      </c>
      <c r="C1210" s="7">
        <f t="shared" si="18"/>
        <v>1.1531452360343364</v>
      </c>
    </row>
    <row r="1211" spans="1:3" x14ac:dyDescent="0.3">
      <c r="A1211" s="6" t="s">
        <v>1307</v>
      </c>
      <c r="B1211" s="8">
        <v>14.75</v>
      </c>
      <c r="C1211" s="7">
        <f t="shared" si="18"/>
        <v>1.1531452360343364</v>
      </c>
    </row>
    <row r="1212" spans="1:3" x14ac:dyDescent="0.3">
      <c r="A1212" s="6" t="s">
        <v>1308</v>
      </c>
      <c r="B1212" s="8">
        <v>14.75</v>
      </c>
      <c r="C1212" s="7">
        <f t="shared" si="18"/>
        <v>1.1531452360343364</v>
      </c>
    </row>
    <row r="1213" spans="1:3" x14ac:dyDescent="0.3">
      <c r="A1213" s="6" t="s">
        <v>834</v>
      </c>
      <c r="B1213" s="8">
        <v>14.75</v>
      </c>
      <c r="C1213" s="7">
        <f t="shared" si="18"/>
        <v>1.1531452360343364</v>
      </c>
    </row>
    <row r="1214" spans="1:3" x14ac:dyDescent="0.3">
      <c r="A1214" s="6" t="s">
        <v>1309</v>
      </c>
      <c r="B1214" s="8">
        <v>14.75</v>
      </c>
      <c r="C1214" s="7">
        <f t="shared" si="18"/>
        <v>1.1531452360343364</v>
      </c>
    </row>
    <row r="1215" spans="1:3" x14ac:dyDescent="0.3">
      <c r="A1215" s="6" t="s">
        <v>835</v>
      </c>
      <c r="B1215" s="8">
        <v>14.75</v>
      </c>
      <c r="C1215" s="7">
        <f t="shared" si="18"/>
        <v>1.1531452360343364</v>
      </c>
    </row>
    <row r="1216" spans="1:3" x14ac:dyDescent="0.3">
      <c r="A1216" s="6" t="s">
        <v>836</v>
      </c>
      <c r="B1216" s="8">
        <v>14.75</v>
      </c>
      <c r="C1216" s="7">
        <f t="shared" si="18"/>
        <v>1.1531452360343364</v>
      </c>
    </row>
    <row r="1217" spans="1:3" x14ac:dyDescent="0.3">
      <c r="A1217" s="6" t="s">
        <v>837</v>
      </c>
      <c r="B1217" s="8">
        <v>14.75</v>
      </c>
      <c r="C1217" s="7">
        <f t="shared" si="18"/>
        <v>1.1531452360343364</v>
      </c>
    </row>
    <row r="1218" spans="1:3" x14ac:dyDescent="0.3">
      <c r="A1218" s="6" t="s">
        <v>1310</v>
      </c>
      <c r="B1218" s="8">
        <v>14.75</v>
      </c>
      <c r="C1218" s="7">
        <f t="shared" si="18"/>
        <v>1.1531452360343364</v>
      </c>
    </row>
    <row r="1219" spans="1:3" x14ac:dyDescent="0.3">
      <c r="A1219" s="6" t="s">
        <v>1311</v>
      </c>
      <c r="B1219" s="8">
        <v>14.75</v>
      </c>
      <c r="C1219" s="7">
        <f t="shared" si="18"/>
        <v>1.1531452360343364</v>
      </c>
    </row>
    <row r="1220" spans="1:3" x14ac:dyDescent="0.3">
      <c r="A1220" s="6" t="s">
        <v>838</v>
      </c>
      <c r="B1220" s="8">
        <v>14.75</v>
      </c>
      <c r="C1220" s="7">
        <f t="shared" si="18"/>
        <v>1.1531452360343364</v>
      </c>
    </row>
    <row r="1221" spans="1:3" x14ac:dyDescent="0.3">
      <c r="A1221" s="6" t="s">
        <v>839</v>
      </c>
      <c r="B1221" s="8">
        <v>14.75</v>
      </c>
      <c r="C1221" s="7">
        <f t="shared" si="18"/>
        <v>1.1531452360343364</v>
      </c>
    </row>
    <row r="1222" spans="1:3" x14ac:dyDescent="0.3">
      <c r="A1222" s="6" t="s">
        <v>840</v>
      </c>
      <c r="B1222" s="8">
        <v>14.75</v>
      </c>
      <c r="C1222" s="7">
        <f t="shared" si="18"/>
        <v>1.1531452360343364</v>
      </c>
    </row>
    <row r="1223" spans="1:3" x14ac:dyDescent="0.3">
      <c r="A1223" s="6" t="s">
        <v>841</v>
      </c>
      <c r="B1223" s="8">
        <v>14.5</v>
      </c>
      <c r="C1223" s="7">
        <f t="shared" si="18"/>
        <v>1.1347621038123146</v>
      </c>
    </row>
    <row r="1224" spans="1:3" x14ac:dyDescent="0.3">
      <c r="A1224" s="6" t="s">
        <v>1312</v>
      </c>
      <c r="B1224" s="8">
        <v>14.5</v>
      </c>
      <c r="C1224" s="7">
        <f t="shared" ref="C1224:C1287" si="19">((1+B1224/100)^(1/12)-1)*100</f>
        <v>1.1347621038123146</v>
      </c>
    </row>
    <row r="1225" spans="1:3" x14ac:dyDescent="0.3">
      <c r="A1225" s="6" t="s">
        <v>1313</v>
      </c>
      <c r="B1225" s="8">
        <v>14.5</v>
      </c>
      <c r="C1225" s="7">
        <f t="shared" si="19"/>
        <v>1.1347621038123146</v>
      </c>
    </row>
    <row r="1226" spans="1:3" x14ac:dyDescent="0.3">
      <c r="A1226" s="6" t="s">
        <v>1314</v>
      </c>
      <c r="B1226" s="8">
        <v>14.5</v>
      </c>
      <c r="C1226" s="7">
        <f t="shared" si="19"/>
        <v>1.1347621038123146</v>
      </c>
    </row>
    <row r="1227" spans="1:3" x14ac:dyDescent="0.3">
      <c r="A1227" s="6" t="s">
        <v>842</v>
      </c>
      <c r="B1227" s="8">
        <v>14.5</v>
      </c>
      <c r="C1227" s="7">
        <f t="shared" si="19"/>
        <v>1.1347621038123146</v>
      </c>
    </row>
    <row r="1228" spans="1:3" x14ac:dyDescent="0.3">
      <c r="A1228" s="6" t="s">
        <v>843</v>
      </c>
      <c r="B1228" s="8">
        <v>14.5</v>
      </c>
      <c r="C1228" s="7">
        <f t="shared" si="19"/>
        <v>1.1347621038123146</v>
      </c>
    </row>
    <row r="1229" spans="1:3" x14ac:dyDescent="0.3">
      <c r="A1229" s="6" t="s">
        <v>844</v>
      </c>
      <c r="B1229" s="8">
        <v>14.5</v>
      </c>
      <c r="C1229" s="7">
        <f t="shared" si="19"/>
        <v>1.1347621038123146</v>
      </c>
    </row>
    <row r="1230" spans="1:3" x14ac:dyDescent="0.3">
      <c r="A1230" s="6" t="s">
        <v>845</v>
      </c>
      <c r="B1230" s="8">
        <v>14.5</v>
      </c>
      <c r="C1230" s="7">
        <f t="shared" si="19"/>
        <v>1.1347621038123146</v>
      </c>
    </row>
    <row r="1231" spans="1:3" x14ac:dyDescent="0.3">
      <c r="A1231" s="6" t="s">
        <v>846</v>
      </c>
      <c r="B1231" s="8">
        <v>14.5</v>
      </c>
      <c r="C1231" s="7">
        <f t="shared" si="19"/>
        <v>1.1347621038123146</v>
      </c>
    </row>
    <row r="1232" spans="1:3" x14ac:dyDescent="0.3">
      <c r="A1232" s="6" t="s">
        <v>1315</v>
      </c>
      <c r="B1232" s="8">
        <v>14.5</v>
      </c>
      <c r="C1232" s="7">
        <f t="shared" si="19"/>
        <v>1.1347621038123146</v>
      </c>
    </row>
    <row r="1233" spans="1:3" x14ac:dyDescent="0.3">
      <c r="A1233" s="6" t="s">
        <v>1316</v>
      </c>
      <c r="B1233" s="8">
        <v>14.5</v>
      </c>
      <c r="C1233" s="7">
        <f t="shared" si="19"/>
        <v>1.1347621038123146</v>
      </c>
    </row>
    <row r="1234" spans="1:3" x14ac:dyDescent="0.3">
      <c r="A1234" s="6" t="s">
        <v>847</v>
      </c>
      <c r="B1234" s="8">
        <v>14.5</v>
      </c>
      <c r="C1234" s="7">
        <f t="shared" si="19"/>
        <v>1.1347621038123146</v>
      </c>
    </row>
    <row r="1235" spans="1:3" x14ac:dyDescent="0.3">
      <c r="A1235" s="6" t="s">
        <v>848</v>
      </c>
      <c r="B1235" s="8">
        <v>14.5</v>
      </c>
      <c r="C1235" s="7">
        <f t="shared" si="19"/>
        <v>1.1347621038123146</v>
      </c>
    </row>
    <row r="1236" spans="1:3" x14ac:dyDescent="0.3">
      <c r="A1236" s="6" t="s">
        <v>849</v>
      </c>
      <c r="B1236" s="8">
        <v>14.5</v>
      </c>
      <c r="C1236" s="7">
        <f t="shared" si="19"/>
        <v>1.1347621038123146</v>
      </c>
    </row>
    <row r="1237" spans="1:3" x14ac:dyDescent="0.3">
      <c r="A1237" s="6" t="s">
        <v>850</v>
      </c>
      <c r="B1237" s="8">
        <v>14.5</v>
      </c>
      <c r="C1237" s="7">
        <f t="shared" si="19"/>
        <v>1.1347621038123146</v>
      </c>
    </row>
    <row r="1238" spans="1:3" x14ac:dyDescent="0.3">
      <c r="A1238" s="6" t="s">
        <v>851</v>
      </c>
      <c r="B1238" s="8">
        <v>14.5</v>
      </c>
      <c r="C1238" s="7">
        <f t="shared" si="19"/>
        <v>1.1347621038123146</v>
      </c>
    </row>
    <row r="1239" spans="1:3" x14ac:dyDescent="0.3">
      <c r="A1239" s="6" t="s">
        <v>1317</v>
      </c>
      <c r="B1239" s="8">
        <v>14.5</v>
      </c>
      <c r="C1239" s="7">
        <f t="shared" si="19"/>
        <v>1.1347621038123146</v>
      </c>
    </row>
    <row r="1240" spans="1:3" x14ac:dyDescent="0.3">
      <c r="A1240" s="6" t="s">
        <v>1318</v>
      </c>
      <c r="B1240" s="8">
        <v>14.5</v>
      </c>
      <c r="C1240" s="7">
        <f t="shared" si="19"/>
        <v>1.1347621038123146</v>
      </c>
    </row>
    <row r="1241" spans="1:3" x14ac:dyDescent="0.3">
      <c r="A1241" s="6" t="s">
        <v>852</v>
      </c>
      <c r="B1241" s="8">
        <v>14.5</v>
      </c>
      <c r="C1241" s="7">
        <f t="shared" si="19"/>
        <v>1.1347621038123146</v>
      </c>
    </row>
    <row r="1242" spans="1:3" x14ac:dyDescent="0.3">
      <c r="A1242" s="6" t="s">
        <v>853</v>
      </c>
      <c r="B1242" s="8">
        <v>14.5</v>
      </c>
      <c r="C1242" s="7">
        <f t="shared" si="19"/>
        <v>1.1347621038123146</v>
      </c>
    </row>
    <row r="1243" spans="1:3" x14ac:dyDescent="0.3">
      <c r="A1243" s="6" t="s">
        <v>854</v>
      </c>
      <c r="B1243" s="8">
        <v>14.5</v>
      </c>
      <c r="C1243" s="7">
        <f t="shared" si="19"/>
        <v>1.1347621038123146</v>
      </c>
    </row>
    <row r="1244" spans="1:3" x14ac:dyDescent="0.3">
      <c r="A1244" s="6" t="s">
        <v>855</v>
      </c>
      <c r="B1244" s="8">
        <v>14.5</v>
      </c>
      <c r="C1244" s="7">
        <f t="shared" si="19"/>
        <v>1.1347621038123146</v>
      </c>
    </row>
    <row r="1245" spans="1:3" x14ac:dyDescent="0.3">
      <c r="A1245" s="6" t="s">
        <v>856</v>
      </c>
      <c r="B1245" s="8">
        <v>14.5</v>
      </c>
      <c r="C1245" s="7">
        <f t="shared" si="19"/>
        <v>1.1347621038123146</v>
      </c>
    </row>
    <row r="1246" spans="1:3" x14ac:dyDescent="0.3">
      <c r="A1246" s="6" t="s">
        <v>1319</v>
      </c>
      <c r="B1246" s="8">
        <v>14.5</v>
      </c>
      <c r="C1246" s="7">
        <f t="shared" si="19"/>
        <v>1.1347621038123146</v>
      </c>
    </row>
    <row r="1247" spans="1:3" x14ac:dyDescent="0.3">
      <c r="A1247" s="6" t="s">
        <v>1320</v>
      </c>
      <c r="B1247" s="8">
        <v>14.5</v>
      </c>
      <c r="C1247" s="7">
        <f t="shared" si="19"/>
        <v>1.1347621038123146</v>
      </c>
    </row>
    <row r="1248" spans="1:3" x14ac:dyDescent="0.3">
      <c r="A1248" s="6" t="s">
        <v>857</v>
      </c>
      <c r="B1248" s="8">
        <v>14.5</v>
      </c>
      <c r="C1248" s="7">
        <f t="shared" si="19"/>
        <v>1.1347621038123146</v>
      </c>
    </row>
    <row r="1249" spans="1:3" x14ac:dyDescent="0.3">
      <c r="A1249" s="6" t="s">
        <v>858</v>
      </c>
      <c r="B1249" s="8">
        <v>14.5</v>
      </c>
      <c r="C1249" s="7">
        <f t="shared" si="19"/>
        <v>1.1347621038123146</v>
      </c>
    </row>
    <row r="1250" spans="1:3" x14ac:dyDescent="0.3">
      <c r="A1250" s="6" t="s">
        <v>859</v>
      </c>
      <c r="B1250" s="8">
        <v>14.5</v>
      </c>
      <c r="C1250" s="7">
        <f t="shared" si="19"/>
        <v>1.1347621038123146</v>
      </c>
    </row>
    <row r="1251" spans="1:3" x14ac:dyDescent="0.3">
      <c r="A1251" s="6" t="s">
        <v>860</v>
      </c>
      <c r="B1251" s="8">
        <v>14.5</v>
      </c>
      <c r="C1251" s="7">
        <f t="shared" si="19"/>
        <v>1.1347621038123146</v>
      </c>
    </row>
    <row r="1252" spans="1:3" x14ac:dyDescent="0.3">
      <c r="A1252" s="6" t="s">
        <v>861</v>
      </c>
      <c r="B1252" s="8">
        <v>14.5</v>
      </c>
      <c r="C1252" s="7">
        <f t="shared" si="19"/>
        <v>1.1347621038123146</v>
      </c>
    </row>
    <row r="1253" spans="1:3" x14ac:dyDescent="0.3">
      <c r="A1253" s="6" t="s">
        <v>1321</v>
      </c>
      <c r="B1253" s="8">
        <v>14.5</v>
      </c>
      <c r="C1253" s="7">
        <f t="shared" si="19"/>
        <v>1.1347621038123146</v>
      </c>
    </row>
    <row r="1254" spans="1:3" x14ac:dyDescent="0.3">
      <c r="A1254" s="6" t="s">
        <v>1322</v>
      </c>
      <c r="B1254" s="8">
        <v>14.5</v>
      </c>
      <c r="C1254" s="7">
        <f t="shared" si="19"/>
        <v>1.1347621038123146</v>
      </c>
    </row>
    <row r="1255" spans="1:3" x14ac:dyDescent="0.3">
      <c r="A1255" s="6" t="s">
        <v>862</v>
      </c>
      <c r="B1255" s="8">
        <v>14.5</v>
      </c>
      <c r="C1255" s="7">
        <f t="shared" si="19"/>
        <v>1.1347621038123146</v>
      </c>
    </row>
    <row r="1256" spans="1:3" x14ac:dyDescent="0.3">
      <c r="A1256" s="6" t="s">
        <v>863</v>
      </c>
      <c r="B1256" s="8">
        <v>14.5</v>
      </c>
      <c r="C1256" s="7">
        <f t="shared" si="19"/>
        <v>1.1347621038123146</v>
      </c>
    </row>
    <row r="1257" spans="1:3" x14ac:dyDescent="0.3">
      <c r="A1257" s="6" t="s">
        <v>864</v>
      </c>
      <c r="B1257" s="8">
        <v>14.5</v>
      </c>
      <c r="C1257" s="7">
        <f t="shared" si="19"/>
        <v>1.1347621038123146</v>
      </c>
    </row>
    <row r="1258" spans="1:3" x14ac:dyDescent="0.3">
      <c r="A1258" s="6" t="s">
        <v>1323</v>
      </c>
      <c r="B1258" s="8">
        <v>14.5</v>
      </c>
      <c r="C1258" s="7">
        <f t="shared" si="19"/>
        <v>1.1347621038123146</v>
      </c>
    </row>
    <row r="1259" spans="1:3" x14ac:dyDescent="0.3">
      <c r="A1259" s="6" t="s">
        <v>865</v>
      </c>
      <c r="B1259" s="8">
        <v>14.5</v>
      </c>
      <c r="C1259" s="7">
        <f t="shared" si="19"/>
        <v>1.1347621038123146</v>
      </c>
    </row>
    <row r="1260" spans="1:3" x14ac:dyDescent="0.3">
      <c r="A1260" s="6" t="s">
        <v>1324</v>
      </c>
      <c r="B1260" s="8">
        <v>14.5</v>
      </c>
      <c r="C1260" s="7">
        <f t="shared" si="19"/>
        <v>1.1347621038123146</v>
      </c>
    </row>
    <row r="1261" spans="1:3" x14ac:dyDescent="0.3">
      <c r="A1261" s="6" t="s">
        <v>1325</v>
      </c>
      <c r="B1261" s="8">
        <v>14.5</v>
      </c>
      <c r="C1261" s="7">
        <f t="shared" si="19"/>
        <v>1.1347621038123146</v>
      </c>
    </row>
    <row r="1262" spans="1:3" x14ac:dyDescent="0.3">
      <c r="A1262" s="6" t="s">
        <v>866</v>
      </c>
      <c r="B1262" s="8">
        <v>14.5</v>
      </c>
      <c r="C1262" s="7">
        <f t="shared" si="19"/>
        <v>1.1347621038123146</v>
      </c>
    </row>
    <row r="1263" spans="1:3" x14ac:dyDescent="0.3">
      <c r="A1263" s="6" t="s">
        <v>867</v>
      </c>
      <c r="B1263" s="8">
        <v>14.5</v>
      </c>
      <c r="C1263" s="7">
        <f t="shared" si="19"/>
        <v>1.1347621038123146</v>
      </c>
    </row>
    <row r="1264" spans="1:3" x14ac:dyDescent="0.3">
      <c r="A1264" s="6" t="s">
        <v>868</v>
      </c>
      <c r="B1264" s="8">
        <v>14.5</v>
      </c>
      <c r="C1264" s="7">
        <f t="shared" si="19"/>
        <v>1.1347621038123146</v>
      </c>
    </row>
    <row r="1265" spans="1:3" x14ac:dyDescent="0.3">
      <c r="A1265" s="6" t="s">
        <v>869</v>
      </c>
      <c r="B1265" s="8">
        <v>14.5</v>
      </c>
      <c r="C1265" s="7">
        <f t="shared" si="19"/>
        <v>1.1347621038123146</v>
      </c>
    </row>
    <row r="1266" spans="1:3" x14ac:dyDescent="0.3">
      <c r="A1266" s="6" t="s">
        <v>870</v>
      </c>
      <c r="B1266" s="8">
        <v>14.5</v>
      </c>
      <c r="C1266" s="7">
        <f t="shared" si="19"/>
        <v>1.1347621038123146</v>
      </c>
    </row>
    <row r="1267" spans="1:3" x14ac:dyDescent="0.3">
      <c r="A1267" s="6" t="s">
        <v>1326</v>
      </c>
      <c r="B1267" s="8">
        <v>14.5</v>
      </c>
      <c r="C1267" s="7">
        <f t="shared" si="19"/>
        <v>1.1347621038123146</v>
      </c>
    </row>
    <row r="1268" spans="1:3" x14ac:dyDescent="0.3">
      <c r="A1268" s="6" t="s">
        <v>1327</v>
      </c>
      <c r="B1268" s="8">
        <v>14.5</v>
      </c>
      <c r="C1268" s="7">
        <f t="shared" si="19"/>
        <v>1.1347621038123146</v>
      </c>
    </row>
    <row r="1269" spans="1:3" x14ac:dyDescent="0.3">
      <c r="A1269" s="6" t="s">
        <v>871</v>
      </c>
      <c r="B1269" s="8">
        <v>14.5</v>
      </c>
      <c r="C1269" s="7">
        <f t="shared" si="19"/>
        <v>1.1347621038123146</v>
      </c>
    </row>
    <row r="1270" spans="1:3" x14ac:dyDescent="0.3">
      <c r="A1270" s="6" t="s">
        <v>872</v>
      </c>
      <c r="B1270" s="8">
        <v>14.5</v>
      </c>
      <c r="C1270" s="7">
        <f t="shared" si="19"/>
        <v>1.1347621038123146</v>
      </c>
    </row>
    <row r="1271" spans="1:3" x14ac:dyDescent="0.3">
      <c r="A1271" s="6" t="s">
        <v>873</v>
      </c>
      <c r="B1271" s="8">
        <v>14.5</v>
      </c>
      <c r="C1271" s="7">
        <f t="shared" si="19"/>
        <v>1.1347621038123146</v>
      </c>
    </row>
    <row r="1272" spans="1:3" x14ac:dyDescent="0.3">
      <c r="A1272" s="6" t="s">
        <v>874</v>
      </c>
      <c r="B1272" s="8">
        <v>14.25</v>
      </c>
      <c r="C1272" s="7">
        <f t="shared" si="19"/>
        <v>1.1163421416801933</v>
      </c>
    </row>
    <row r="1273" spans="1:3" x14ac:dyDescent="0.3">
      <c r="A1273" s="6" t="s">
        <v>875</v>
      </c>
      <c r="B1273" s="8">
        <v>14.25</v>
      </c>
      <c r="C1273" s="7">
        <f t="shared" si="19"/>
        <v>1.1163421416801933</v>
      </c>
    </row>
    <row r="1274" spans="1:3" x14ac:dyDescent="0.3">
      <c r="A1274" s="6" t="s">
        <v>1328</v>
      </c>
      <c r="B1274" s="8">
        <v>14.25</v>
      </c>
      <c r="C1274" s="7">
        <f t="shared" si="19"/>
        <v>1.1163421416801933</v>
      </c>
    </row>
    <row r="1275" spans="1:3" x14ac:dyDescent="0.3">
      <c r="A1275" s="6" t="s">
        <v>1329</v>
      </c>
      <c r="B1275" s="8">
        <v>14.25</v>
      </c>
      <c r="C1275" s="7">
        <f t="shared" si="19"/>
        <v>1.1163421416801933</v>
      </c>
    </row>
    <row r="1276" spans="1:3" x14ac:dyDescent="0.3">
      <c r="A1276" s="6" t="s">
        <v>876</v>
      </c>
      <c r="B1276" s="8">
        <v>14.25</v>
      </c>
      <c r="C1276" s="7">
        <f t="shared" si="19"/>
        <v>1.1163421416801933</v>
      </c>
    </row>
    <row r="1277" spans="1:3" x14ac:dyDescent="0.3">
      <c r="A1277" s="6" t="s">
        <v>877</v>
      </c>
      <c r="B1277" s="8">
        <v>14.25</v>
      </c>
      <c r="C1277" s="7">
        <f t="shared" si="19"/>
        <v>1.1163421416801933</v>
      </c>
    </row>
    <row r="1278" spans="1:3" x14ac:dyDescent="0.3">
      <c r="A1278" s="6" t="s">
        <v>878</v>
      </c>
      <c r="B1278" s="8">
        <v>14.25</v>
      </c>
      <c r="C1278" s="7">
        <f t="shared" si="19"/>
        <v>1.1163421416801933</v>
      </c>
    </row>
    <row r="1279" spans="1:3" x14ac:dyDescent="0.3">
      <c r="A1279" s="6" t="s">
        <v>879</v>
      </c>
      <c r="B1279" s="8">
        <v>14.25</v>
      </c>
      <c r="C1279" s="7">
        <f t="shared" si="19"/>
        <v>1.1163421416801933</v>
      </c>
    </row>
    <row r="1280" spans="1:3" x14ac:dyDescent="0.3">
      <c r="A1280" s="6" t="s">
        <v>880</v>
      </c>
      <c r="B1280" s="8">
        <v>14.25</v>
      </c>
      <c r="C1280" s="7">
        <f t="shared" si="19"/>
        <v>1.1163421416801933</v>
      </c>
    </row>
    <row r="1281" spans="1:3" x14ac:dyDescent="0.3">
      <c r="A1281" s="6" t="s">
        <v>1330</v>
      </c>
      <c r="B1281" s="8">
        <v>14.25</v>
      </c>
      <c r="C1281" s="7">
        <f t="shared" si="19"/>
        <v>1.1163421416801933</v>
      </c>
    </row>
    <row r="1282" spans="1:3" x14ac:dyDescent="0.3">
      <c r="A1282" s="6" t="s">
        <v>1331</v>
      </c>
      <c r="B1282" s="8">
        <v>14.25</v>
      </c>
      <c r="C1282" s="7">
        <f t="shared" si="19"/>
        <v>1.1163421416801933</v>
      </c>
    </row>
    <row r="1283" spans="1:3" x14ac:dyDescent="0.3">
      <c r="A1283" s="6" t="s">
        <v>881</v>
      </c>
      <c r="B1283" s="8">
        <v>14.25</v>
      </c>
      <c r="C1283" s="7">
        <f t="shared" si="19"/>
        <v>1.1163421416801933</v>
      </c>
    </row>
    <row r="1284" spans="1:3" x14ac:dyDescent="0.3">
      <c r="A1284" s="6" t="s">
        <v>882</v>
      </c>
      <c r="B1284" s="8">
        <v>14.25</v>
      </c>
      <c r="C1284" s="7">
        <f t="shared" si="19"/>
        <v>1.1163421416801933</v>
      </c>
    </row>
    <row r="1285" spans="1:3" x14ac:dyDescent="0.3">
      <c r="A1285" s="6" t="s">
        <v>883</v>
      </c>
      <c r="B1285" s="8">
        <v>14.25</v>
      </c>
      <c r="C1285" s="7">
        <f t="shared" si="19"/>
        <v>1.1163421416801933</v>
      </c>
    </row>
    <row r="1286" spans="1:3" x14ac:dyDescent="0.3">
      <c r="A1286" s="6" t="s">
        <v>884</v>
      </c>
      <c r="B1286" s="8">
        <v>14.25</v>
      </c>
      <c r="C1286" s="7">
        <f t="shared" si="19"/>
        <v>1.1163421416801933</v>
      </c>
    </row>
    <row r="1287" spans="1:3" x14ac:dyDescent="0.3">
      <c r="A1287" s="6" t="s">
        <v>885</v>
      </c>
      <c r="B1287" s="8">
        <v>14.25</v>
      </c>
      <c r="C1287" s="7">
        <f t="shared" si="19"/>
        <v>1.1163421416801933</v>
      </c>
    </row>
    <row r="1288" spans="1:3" x14ac:dyDescent="0.3">
      <c r="A1288" s="6" t="s">
        <v>1332</v>
      </c>
      <c r="B1288" s="8">
        <v>14.25</v>
      </c>
      <c r="C1288" s="7">
        <f t="shared" ref="C1288:C1351" si="20">((1+B1288/100)^(1/12)-1)*100</f>
        <v>1.1163421416801933</v>
      </c>
    </row>
    <row r="1289" spans="1:3" x14ac:dyDescent="0.3">
      <c r="A1289" s="6" t="s">
        <v>1333</v>
      </c>
      <c r="B1289" s="8">
        <v>14.25</v>
      </c>
      <c r="C1289" s="7">
        <f t="shared" si="20"/>
        <v>1.1163421416801933</v>
      </c>
    </row>
    <row r="1290" spans="1:3" x14ac:dyDescent="0.3">
      <c r="A1290" s="6" t="s">
        <v>886</v>
      </c>
      <c r="B1290" s="8">
        <v>14.25</v>
      </c>
      <c r="C1290" s="7">
        <f t="shared" si="20"/>
        <v>1.1163421416801933</v>
      </c>
    </row>
    <row r="1291" spans="1:3" x14ac:dyDescent="0.3">
      <c r="A1291" s="6" t="s">
        <v>887</v>
      </c>
      <c r="B1291" s="8">
        <v>14.25</v>
      </c>
      <c r="C1291" s="7">
        <f t="shared" si="20"/>
        <v>1.1163421416801933</v>
      </c>
    </row>
    <row r="1292" spans="1:3" x14ac:dyDescent="0.3">
      <c r="A1292" s="6" t="s">
        <v>888</v>
      </c>
      <c r="B1292" s="8">
        <v>14.25</v>
      </c>
      <c r="C1292" s="7">
        <f t="shared" si="20"/>
        <v>1.1163421416801933</v>
      </c>
    </row>
    <row r="1293" spans="1:3" x14ac:dyDescent="0.3">
      <c r="A1293" s="6" t="s">
        <v>889</v>
      </c>
      <c r="B1293" s="8">
        <v>14.25</v>
      </c>
      <c r="C1293" s="7">
        <f t="shared" si="20"/>
        <v>1.1163421416801933</v>
      </c>
    </row>
    <row r="1294" spans="1:3" x14ac:dyDescent="0.3">
      <c r="A1294" s="6" t="s">
        <v>890</v>
      </c>
      <c r="B1294" s="8">
        <v>14.25</v>
      </c>
      <c r="C1294" s="7">
        <f t="shared" si="20"/>
        <v>1.1163421416801933</v>
      </c>
    </row>
    <row r="1295" spans="1:3" x14ac:dyDescent="0.3">
      <c r="A1295" s="6" t="s">
        <v>1334</v>
      </c>
      <c r="B1295" s="8">
        <v>14.25</v>
      </c>
      <c r="C1295" s="7">
        <f t="shared" si="20"/>
        <v>1.1163421416801933</v>
      </c>
    </row>
    <row r="1296" spans="1:3" x14ac:dyDescent="0.3">
      <c r="A1296" s="6" t="s">
        <v>1335</v>
      </c>
      <c r="B1296" s="8">
        <v>14.25</v>
      </c>
      <c r="C1296" s="7">
        <f t="shared" si="20"/>
        <v>1.1163421416801933</v>
      </c>
    </row>
    <row r="1297" spans="1:3" x14ac:dyDescent="0.3">
      <c r="A1297" s="6" t="s">
        <v>891</v>
      </c>
      <c r="B1297" s="8">
        <v>14.25</v>
      </c>
      <c r="C1297" s="7">
        <f t="shared" si="20"/>
        <v>1.1163421416801933</v>
      </c>
    </row>
    <row r="1298" spans="1:3" x14ac:dyDescent="0.3">
      <c r="A1298" s="6" t="s">
        <v>892</v>
      </c>
      <c r="B1298" s="8">
        <v>14.25</v>
      </c>
      <c r="C1298" s="7">
        <f t="shared" si="20"/>
        <v>1.1163421416801933</v>
      </c>
    </row>
    <row r="1299" spans="1:3" x14ac:dyDescent="0.3">
      <c r="A1299" s="6" t="s">
        <v>893</v>
      </c>
      <c r="B1299" s="8">
        <v>14.25</v>
      </c>
      <c r="C1299" s="7">
        <f t="shared" si="20"/>
        <v>1.1163421416801933</v>
      </c>
    </row>
    <row r="1300" spans="1:3" x14ac:dyDescent="0.3">
      <c r="A1300" s="6" t="s">
        <v>894</v>
      </c>
      <c r="B1300" s="8">
        <v>14.25</v>
      </c>
      <c r="C1300" s="7">
        <f t="shared" si="20"/>
        <v>1.1163421416801933</v>
      </c>
    </row>
    <row r="1301" spans="1:3" x14ac:dyDescent="0.3">
      <c r="A1301" s="6" t="s">
        <v>895</v>
      </c>
      <c r="B1301" s="8">
        <v>14.25</v>
      </c>
      <c r="C1301" s="7">
        <f t="shared" si="20"/>
        <v>1.1163421416801933</v>
      </c>
    </row>
    <row r="1302" spans="1:3" x14ac:dyDescent="0.3">
      <c r="A1302" s="6" t="s">
        <v>1336</v>
      </c>
      <c r="B1302" s="8">
        <v>14.25</v>
      </c>
      <c r="C1302" s="7">
        <f t="shared" si="20"/>
        <v>1.1163421416801933</v>
      </c>
    </row>
    <row r="1303" spans="1:3" x14ac:dyDescent="0.3">
      <c r="A1303" s="6" t="s">
        <v>1337</v>
      </c>
      <c r="B1303" s="8">
        <v>14.25</v>
      </c>
      <c r="C1303" s="7">
        <f t="shared" si="20"/>
        <v>1.1163421416801933</v>
      </c>
    </row>
    <row r="1304" spans="1:3" x14ac:dyDescent="0.3">
      <c r="A1304" s="6" t="s">
        <v>896</v>
      </c>
      <c r="B1304" s="8">
        <v>14.25</v>
      </c>
      <c r="C1304" s="7">
        <f t="shared" si="20"/>
        <v>1.1163421416801933</v>
      </c>
    </row>
    <row r="1305" spans="1:3" x14ac:dyDescent="0.3">
      <c r="A1305" s="6" t="s">
        <v>897</v>
      </c>
      <c r="B1305" s="8">
        <v>14.25</v>
      </c>
      <c r="C1305" s="7">
        <f t="shared" si="20"/>
        <v>1.1163421416801933</v>
      </c>
    </row>
    <row r="1306" spans="1:3" x14ac:dyDescent="0.3">
      <c r="A1306" s="6" t="s">
        <v>898</v>
      </c>
      <c r="B1306" s="8">
        <v>14.25</v>
      </c>
      <c r="C1306" s="7">
        <f t="shared" si="20"/>
        <v>1.1163421416801933</v>
      </c>
    </row>
    <row r="1307" spans="1:3" x14ac:dyDescent="0.3">
      <c r="A1307" s="6" t="s">
        <v>899</v>
      </c>
      <c r="B1307" s="8">
        <v>14.25</v>
      </c>
      <c r="C1307" s="7">
        <f t="shared" si="20"/>
        <v>1.1163421416801933</v>
      </c>
    </row>
    <row r="1308" spans="1:3" x14ac:dyDescent="0.3">
      <c r="A1308" s="6" t="s">
        <v>900</v>
      </c>
      <c r="B1308" s="8">
        <v>14.25</v>
      </c>
      <c r="C1308" s="7">
        <f t="shared" si="20"/>
        <v>1.1163421416801933</v>
      </c>
    </row>
    <row r="1309" spans="1:3" x14ac:dyDescent="0.3">
      <c r="A1309" s="6" t="s">
        <v>1338</v>
      </c>
      <c r="B1309" s="8">
        <v>14.25</v>
      </c>
      <c r="C1309" s="7">
        <f t="shared" si="20"/>
        <v>1.1163421416801933</v>
      </c>
    </row>
    <row r="1310" spans="1:3" x14ac:dyDescent="0.3">
      <c r="A1310" s="6" t="s">
        <v>1339</v>
      </c>
      <c r="B1310" s="8">
        <v>14.25</v>
      </c>
      <c r="C1310" s="7">
        <f t="shared" si="20"/>
        <v>1.1163421416801933</v>
      </c>
    </row>
    <row r="1311" spans="1:3" x14ac:dyDescent="0.3">
      <c r="A1311" s="6" t="s">
        <v>901</v>
      </c>
      <c r="B1311" s="8">
        <v>14.25</v>
      </c>
      <c r="C1311" s="7">
        <f t="shared" si="20"/>
        <v>1.1163421416801933</v>
      </c>
    </row>
    <row r="1312" spans="1:3" x14ac:dyDescent="0.3">
      <c r="A1312" s="6" t="s">
        <v>902</v>
      </c>
      <c r="B1312" s="8">
        <v>14.25</v>
      </c>
      <c r="C1312" s="7">
        <f t="shared" si="20"/>
        <v>1.1163421416801933</v>
      </c>
    </row>
    <row r="1313" spans="1:3" x14ac:dyDescent="0.3">
      <c r="A1313" s="6" t="s">
        <v>903</v>
      </c>
      <c r="B1313" s="8">
        <v>14.25</v>
      </c>
      <c r="C1313" s="7">
        <f t="shared" si="20"/>
        <v>1.1163421416801933</v>
      </c>
    </row>
    <row r="1314" spans="1:3" x14ac:dyDescent="0.3">
      <c r="A1314" s="6" t="s">
        <v>904</v>
      </c>
      <c r="B1314" s="8">
        <v>14.25</v>
      </c>
      <c r="C1314" s="7">
        <f t="shared" si="20"/>
        <v>1.1163421416801933</v>
      </c>
    </row>
    <row r="1315" spans="1:3" x14ac:dyDescent="0.3">
      <c r="A1315" s="6" t="s">
        <v>905</v>
      </c>
      <c r="B1315" s="8">
        <v>14.25</v>
      </c>
      <c r="C1315" s="7">
        <f t="shared" si="20"/>
        <v>1.1163421416801933</v>
      </c>
    </row>
    <row r="1316" spans="1:3" x14ac:dyDescent="0.3">
      <c r="A1316" s="6" t="s">
        <v>1340</v>
      </c>
      <c r="B1316" s="8">
        <v>14.25</v>
      </c>
      <c r="C1316" s="7">
        <f t="shared" si="20"/>
        <v>1.1163421416801933</v>
      </c>
    </row>
    <row r="1317" spans="1:3" x14ac:dyDescent="0.3">
      <c r="A1317" s="6" t="s">
        <v>1341</v>
      </c>
      <c r="B1317" s="8">
        <v>14.25</v>
      </c>
      <c r="C1317" s="7">
        <f t="shared" si="20"/>
        <v>1.1163421416801933</v>
      </c>
    </row>
    <row r="1318" spans="1:3" x14ac:dyDescent="0.3">
      <c r="A1318" s="6" t="s">
        <v>906</v>
      </c>
      <c r="B1318" s="8">
        <v>14.25</v>
      </c>
      <c r="C1318" s="7">
        <f t="shared" si="20"/>
        <v>1.1163421416801933</v>
      </c>
    </row>
    <row r="1319" spans="1:3" x14ac:dyDescent="0.3">
      <c r="A1319" s="6" t="s">
        <v>907</v>
      </c>
      <c r="B1319" s="8">
        <v>14.25</v>
      </c>
      <c r="C1319" s="7">
        <f t="shared" si="20"/>
        <v>1.1163421416801933</v>
      </c>
    </row>
    <row r="1320" spans="1:3" x14ac:dyDescent="0.3">
      <c r="A1320" s="6" t="s">
        <v>908</v>
      </c>
      <c r="B1320" s="8">
        <v>14.25</v>
      </c>
      <c r="C1320" s="7">
        <f t="shared" si="20"/>
        <v>1.1163421416801933</v>
      </c>
    </row>
    <row r="1321" spans="1:3" x14ac:dyDescent="0.3">
      <c r="A1321" s="6" t="s">
        <v>909</v>
      </c>
      <c r="B1321" s="8">
        <v>14</v>
      </c>
      <c r="C1321" s="7">
        <f t="shared" si="20"/>
        <v>1.0978851950173452</v>
      </c>
    </row>
    <row r="1322" spans="1:3" x14ac:dyDescent="0.3">
      <c r="A1322" s="6" t="s">
        <v>910</v>
      </c>
      <c r="B1322" s="8">
        <v>14</v>
      </c>
      <c r="C1322" s="7">
        <f t="shared" si="20"/>
        <v>1.0978851950173452</v>
      </c>
    </row>
    <row r="1323" spans="1:3" x14ac:dyDescent="0.3">
      <c r="A1323" s="6" t="s">
        <v>1342</v>
      </c>
      <c r="B1323" s="8">
        <v>14</v>
      </c>
      <c r="C1323" s="7">
        <f t="shared" si="20"/>
        <v>1.0978851950173452</v>
      </c>
    </row>
    <row r="1324" spans="1:3" x14ac:dyDescent="0.3">
      <c r="A1324" s="6" t="s">
        <v>1343</v>
      </c>
      <c r="B1324" s="8">
        <v>14</v>
      </c>
      <c r="C1324" s="7">
        <f t="shared" si="20"/>
        <v>1.0978851950173452</v>
      </c>
    </row>
    <row r="1325" spans="1:3" x14ac:dyDescent="0.3">
      <c r="A1325" s="6" t="s">
        <v>911</v>
      </c>
      <c r="B1325" s="8">
        <v>14</v>
      </c>
      <c r="C1325" s="7">
        <f t="shared" si="20"/>
        <v>1.0978851950173452</v>
      </c>
    </row>
    <row r="1326" spans="1:3" x14ac:dyDescent="0.3">
      <c r="A1326" s="6" t="s">
        <v>912</v>
      </c>
      <c r="B1326" s="8">
        <v>14</v>
      </c>
      <c r="C1326" s="7">
        <f t="shared" si="20"/>
        <v>1.0978851950173452</v>
      </c>
    </row>
    <row r="1327" spans="1:3" x14ac:dyDescent="0.3">
      <c r="A1327" s="6" t="s">
        <v>913</v>
      </c>
      <c r="B1327" s="8">
        <v>14</v>
      </c>
      <c r="C1327" s="7">
        <f t="shared" si="20"/>
        <v>1.0978851950173452</v>
      </c>
    </row>
    <row r="1328" spans="1:3" x14ac:dyDescent="0.3">
      <c r="A1328" s="6" t="s">
        <v>914</v>
      </c>
      <c r="B1328" s="8">
        <v>14</v>
      </c>
      <c r="C1328" s="7">
        <f t="shared" si="20"/>
        <v>1.0978851950173452</v>
      </c>
    </row>
    <row r="1329" spans="1:3" x14ac:dyDescent="0.3">
      <c r="A1329" s="6" t="s">
        <v>915</v>
      </c>
      <c r="B1329" s="8">
        <v>14</v>
      </c>
      <c r="C1329" s="7">
        <f t="shared" si="20"/>
        <v>1.0978851950173452</v>
      </c>
    </row>
    <row r="1330" spans="1:3" x14ac:dyDescent="0.3">
      <c r="A1330" s="6" t="s">
        <v>1344</v>
      </c>
      <c r="B1330" s="8">
        <v>14</v>
      </c>
      <c r="C1330" s="7">
        <f t="shared" si="20"/>
        <v>1.0978851950173452</v>
      </c>
    </row>
    <row r="1331" spans="1:3" x14ac:dyDescent="0.3">
      <c r="A1331" s="6" t="s">
        <v>1345</v>
      </c>
      <c r="B1331" s="8">
        <v>14</v>
      </c>
      <c r="C1331" s="7">
        <f t="shared" si="20"/>
        <v>1.0978851950173452</v>
      </c>
    </row>
    <row r="1332" spans="1:3" x14ac:dyDescent="0.3">
      <c r="A1332" s="6" t="s">
        <v>916</v>
      </c>
      <c r="B1332" s="8">
        <v>14</v>
      </c>
      <c r="C1332" s="7">
        <f t="shared" si="20"/>
        <v>1.0978851950173452</v>
      </c>
    </row>
    <row r="1333" spans="1:3" x14ac:dyDescent="0.3">
      <c r="A1333" s="6" t="s">
        <v>917</v>
      </c>
      <c r="B1333" s="8">
        <v>14</v>
      </c>
      <c r="C1333" s="7">
        <f t="shared" si="20"/>
        <v>1.0978851950173452</v>
      </c>
    </row>
    <row r="1334" spans="1:3" x14ac:dyDescent="0.3">
      <c r="A1334" s="6" t="s">
        <v>918</v>
      </c>
      <c r="B1334" s="8">
        <v>14</v>
      </c>
      <c r="C1334" s="7">
        <f t="shared" si="20"/>
        <v>1.0978851950173452</v>
      </c>
    </row>
    <row r="1335" spans="1:3" x14ac:dyDescent="0.3">
      <c r="A1335" s="6" t="s">
        <v>919</v>
      </c>
      <c r="B1335" s="8">
        <v>14</v>
      </c>
      <c r="C1335" s="7">
        <f t="shared" si="20"/>
        <v>1.0978851950173452</v>
      </c>
    </row>
    <row r="1336" spans="1:3" x14ac:dyDescent="0.3">
      <c r="A1336" s="6" t="s">
        <v>920</v>
      </c>
      <c r="B1336" s="8">
        <v>14</v>
      </c>
      <c r="C1336" s="7">
        <f t="shared" si="20"/>
        <v>1.0978851950173452</v>
      </c>
    </row>
    <row r="1337" spans="1:3" x14ac:dyDescent="0.3">
      <c r="A1337" s="6" t="s">
        <v>1346</v>
      </c>
      <c r="B1337" s="8">
        <v>14</v>
      </c>
      <c r="C1337" s="7">
        <f t="shared" si="20"/>
        <v>1.0978851950173452</v>
      </c>
    </row>
    <row r="1338" spans="1:3" x14ac:dyDescent="0.3">
      <c r="A1338" s="6" t="s">
        <v>1347</v>
      </c>
      <c r="B1338" s="8">
        <v>14</v>
      </c>
      <c r="C1338" s="7">
        <f t="shared" si="20"/>
        <v>1.0978851950173452</v>
      </c>
    </row>
    <row r="1339" spans="1:3" x14ac:dyDescent="0.3">
      <c r="A1339" s="6" t="s">
        <v>921</v>
      </c>
      <c r="B1339" s="8">
        <v>14</v>
      </c>
      <c r="C1339" s="7">
        <f t="shared" si="20"/>
        <v>1.0978851950173452</v>
      </c>
    </row>
    <row r="1340" spans="1:3" x14ac:dyDescent="0.3">
      <c r="A1340" s="6" t="s">
        <v>922</v>
      </c>
      <c r="B1340" s="8">
        <v>14</v>
      </c>
      <c r="C1340" s="7">
        <f t="shared" si="20"/>
        <v>1.0978851950173452</v>
      </c>
    </row>
    <row r="1341" spans="1:3" x14ac:dyDescent="0.3">
      <c r="A1341" s="6" t="s">
        <v>923</v>
      </c>
      <c r="B1341" s="8">
        <v>14</v>
      </c>
      <c r="C1341" s="7">
        <f t="shared" si="20"/>
        <v>1.0978851950173452</v>
      </c>
    </row>
    <row r="1342" spans="1:3" x14ac:dyDescent="0.3">
      <c r="A1342" s="6" t="s">
        <v>924</v>
      </c>
      <c r="B1342" s="8">
        <v>14</v>
      </c>
      <c r="C1342" s="7">
        <f t="shared" si="20"/>
        <v>1.0978851950173452</v>
      </c>
    </row>
    <row r="1343" spans="1:3" x14ac:dyDescent="0.3">
      <c r="A1343" s="6" t="s">
        <v>925</v>
      </c>
      <c r="B1343" s="8">
        <v>14</v>
      </c>
      <c r="C1343" s="7">
        <f t="shared" si="20"/>
        <v>1.0978851950173452</v>
      </c>
    </row>
    <row r="1344" spans="1:3" x14ac:dyDescent="0.3">
      <c r="A1344" s="6" t="s">
        <v>1348</v>
      </c>
      <c r="B1344" s="8">
        <v>14</v>
      </c>
      <c r="C1344" s="7">
        <f t="shared" si="20"/>
        <v>1.0978851950173452</v>
      </c>
    </row>
    <row r="1345" spans="1:3" x14ac:dyDescent="0.3">
      <c r="A1345" s="6" t="s">
        <v>1349</v>
      </c>
      <c r="B1345" s="8">
        <v>14</v>
      </c>
      <c r="C1345" s="7">
        <f t="shared" si="20"/>
        <v>1.0978851950173452</v>
      </c>
    </row>
    <row r="1346" spans="1:3" x14ac:dyDescent="0.3">
      <c r="A1346" s="6" t="s">
        <v>926</v>
      </c>
      <c r="B1346" s="8">
        <v>14</v>
      </c>
      <c r="C1346" s="7">
        <f t="shared" si="20"/>
        <v>1.0978851950173452</v>
      </c>
    </row>
    <row r="1347" spans="1:3" x14ac:dyDescent="0.3">
      <c r="A1347" s="6" t="s">
        <v>927</v>
      </c>
      <c r="B1347" s="8">
        <v>14</v>
      </c>
      <c r="C1347" s="7">
        <f t="shared" si="20"/>
        <v>1.0978851950173452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zoomScaleNormal="100" workbookViewId="0"/>
  </sheetViews>
  <sheetFormatPr defaultColWidth="8.6640625" defaultRowHeight="14.4" x14ac:dyDescent="0.3"/>
  <cols>
    <col min="1" max="1" width="34" customWidth="1"/>
    <col min="2" max="3" width="16" customWidth="1"/>
    <col min="5" max="5" width="14" customWidth="1"/>
    <col min="8" max="8" width="14" customWidth="1"/>
  </cols>
  <sheetData>
    <row r="1" spans="1:8" ht="17.399999999999999" x14ac:dyDescent="0.3">
      <c r="A1" s="1" t="s">
        <v>1350</v>
      </c>
    </row>
    <row r="2" spans="1:8" x14ac:dyDescent="0.3">
      <c r="A2" s="2" t="s">
        <v>1351</v>
      </c>
    </row>
    <row r="4" spans="1:8" x14ac:dyDescent="0.3">
      <c r="A4" s="3" t="s">
        <v>1352</v>
      </c>
      <c r="C4" s="9">
        <f>AVERAGE(B8:B51)</f>
        <v>0.37545454545454554</v>
      </c>
    </row>
    <row r="5" spans="1:8" x14ac:dyDescent="0.3">
      <c r="A5" s="3" t="s">
        <v>1353</v>
      </c>
      <c r="C5" s="9">
        <f>((1.06)^(1/12)-1)*100</f>
        <v>0.48675505653430484</v>
      </c>
      <c r="E5" s="3" t="s">
        <v>1354</v>
      </c>
      <c r="H5" s="4">
        <f>_xlfn.STDEV.S(B8:B51)</f>
        <v>0.29672204945035863</v>
      </c>
    </row>
    <row r="6" spans="1:8" x14ac:dyDescent="0.3">
      <c r="A6" s="3" t="s">
        <v>1355</v>
      </c>
      <c r="C6" s="4">
        <f>C4+C5</f>
        <v>0.86220960198885033</v>
      </c>
    </row>
    <row r="7" spans="1:8" x14ac:dyDescent="0.3">
      <c r="A7" s="5" t="s">
        <v>4</v>
      </c>
      <c r="B7" s="5" t="s">
        <v>1356</v>
      </c>
    </row>
    <row r="8" spans="1:8" x14ac:dyDescent="0.3">
      <c r="A8" s="6" t="s">
        <v>931</v>
      </c>
      <c r="B8" s="8">
        <v>0.53</v>
      </c>
    </row>
    <row r="9" spans="1:8" x14ac:dyDescent="0.3">
      <c r="A9" s="6" t="s">
        <v>29</v>
      </c>
      <c r="B9" s="8">
        <v>0.84</v>
      </c>
    </row>
    <row r="10" spans="1:8" x14ac:dyDescent="0.3">
      <c r="A10" s="6" t="s">
        <v>47</v>
      </c>
      <c r="B10" s="8">
        <v>0.71</v>
      </c>
    </row>
    <row r="11" spans="1:8" x14ac:dyDescent="0.3">
      <c r="A11" s="6" t="s">
        <v>958</v>
      </c>
      <c r="B11" s="8">
        <v>0.61</v>
      </c>
    </row>
    <row r="12" spans="1:8" x14ac:dyDescent="0.3">
      <c r="A12" s="6" t="s">
        <v>970</v>
      </c>
      <c r="B12" s="8">
        <v>0.23</v>
      </c>
    </row>
    <row r="13" spans="1:8" x14ac:dyDescent="0.3">
      <c r="A13" s="6" t="s">
        <v>110</v>
      </c>
      <c r="B13" s="8">
        <v>-0.08</v>
      </c>
    </row>
    <row r="14" spans="1:8" x14ac:dyDescent="0.3">
      <c r="A14" s="6" t="s">
        <v>988</v>
      </c>
      <c r="B14" s="8">
        <v>0.12</v>
      </c>
    </row>
    <row r="15" spans="1:8" x14ac:dyDescent="0.3">
      <c r="A15" s="6" t="s">
        <v>152</v>
      </c>
      <c r="B15" s="8">
        <v>0.23</v>
      </c>
    </row>
    <row r="16" spans="1:8" x14ac:dyDescent="0.3">
      <c r="A16" s="6" t="s">
        <v>175</v>
      </c>
      <c r="B16" s="8">
        <v>0.26</v>
      </c>
    </row>
    <row r="17" spans="1:2" x14ac:dyDescent="0.3">
      <c r="A17" s="6" t="s">
        <v>1016</v>
      </c>
      <c r="B17" s="8">
        <v>0.24</v>
      </c>
    </row>
    <row r="18" spans="1:2" x14ac:dyDescent="0.3">
      <c r="A18" s="6" t="s">
        <v>216</v>
      </c>
      <c r="B18" s="8">
        <v>0.28000000000000003</v>
      </c>
    </row>
    <row r="19" spans="1:2" x14ac:dyDescent="0.3">
      <c r="A19" s="6" t="s">
        <v>236</v>
      </c>
      <c r="B19" s="8">
        <v>0.56000000000000005</v>
      </c>
    </row>
    <row r="20" spans="1:2" x14ac:dyDescent="0.3">
      <c r="A20" s="6" t="s">
        <v>1047</v>
      </c>
      <c r="B20" s="8">
        <v>0.42</v>
      </c>
    </row>
    <row r="21" spans="1:2" x14ac:dyDescent="0.3">
      <c r="A21" s="6" t="s">
        <v>278</v>
      </c>
      <c r="B21" s="8">
        <v>0.83</v>
      </c>
    </row>
    <row r="22" spans="1:2" x14ac:dyDescent="0.3">
      <c r="A22" s="6" t="s">
        <v>297</v>
      </c>
      <c r="B22" s="8">
        <v>0.16</v>
      </c>
    </row>
    <row r="23" spans="1:2" x14ac:dyDescent="0.3">
      <c r="A23" s="6" t="s">
        <v>317</v>
      </c>
      <c r="B23" s="8">
        <v>0.38</v>
      </c>
    </row>
    <row r="24" spans="1:2" x14ac:dyDescent="0.3">
      <c r="A24" s="6" t="s">
        <v>1085</v>
      </c>
      <c r="B24" s="8">
        <v>0.46</v>
      </c>
    </row>
    <row r="25" spans="1:2" x14ac:dyDescent="0.3">
      <c r="A25" s="6" t="s">
        <v>1095</v>
      </c>
      <c r="B25" s="8">
        <v>0.21</v>
      </c>
    </row>
    <row r="26" spans="1:2" x14ac:dyDescent="0.3">
      <c r="A26" s="6" t="s">
        <v>380</v>
      </c>
      <c r="B26" s="8">
        <v>0.38</v>
      </c>
    </row>
    <row r="27" spans="1:2" x14ac:dyDescent="0.3">
      <c r="A27" s="6" t="s">
        <v>403</v>
      </c>
      <c r="B27" s="8">
        <v>-0.02</v>
      </c>
    </row>
    <row r="28" spans="1:2" x14ac:dyDescent="0.3">
      <c r="A28" s="6" t="s">
        <v>1122</v>
      </c>
      <c r="B28" s="8">
        <v>0.44</v>
      </c>
    </row>
    <row r="29" spans="1:2" x14ac:dyDescent="0.3">
      <c r="A29" s="6" t="s">
        <v>446</v>
      </c>
      <c r="B29" s="8">
        <v>0.56000000000000005</v>
      </c>
    </row>
    <row r="30" spans="1:2" x14ac:dyDescent="0.3">
      <c r="A30" s="6" t="s">
        <v>469</v>
      </c>
      <c r="B30" s="8">
        <v>0.39</v>
      </c>
    </row>
    <row r="31" spans="1:2" x14ac:dyDescent="0.3">
      <c r="A31" s="6" t="s">
        <v>1150</v>
      </c>
      <c r="B31" s="8">
        <v>0.52</v>
      </c>
    </row>
    <row r="32" spans="1:2" x14ac:dyDescent="0.3">
      <c r="A32" s="6" t="s">
        <v>1160</v>
      </c>
      <c r="B32" s="8">
        <v>0.16</v>
      </c>
    </row>
    <row r="33" spans="1:2" x14ac:dyDescent="0.3">
      <c r="A33" s="6" t="s">
        <v>1169</v>
      </c>
      <c r="B33" s="8">
        <v>1.31</v>
      </c>
    </row>
    <row r="34" spans="1:2" x14ac:dyDescent="0.3">
      <c r="A34" s="6" t="s">
        <v>1177</v>
      </c>
      <c r="B34" s="8">
        <v>0.56000000000000005</v>
      </c>
    </row>
    <row r="35" spans="1:2" x14ac:dyDescent="0.3">
      <c r="A35" s="6" t="s">
        <v>570</v>
      </c>
      <c r="B35" s="8">
        <v>0.43</v>
      </c>
    </row>
    <row r="36" spans="1:2" x14ac:dyDescent="0.3">
      <c r="A36" s="6" t="s">
        <v>1199</v>
      </c>
      <c r="B36" s="8">
        <v>0.26</v>
      </c>
    </row>
    <row r="37" spans="1:2" x14ac:dyDescent="0.3">
      <c r="A37" s="6" t="s">
        <v>1209</v>
      </c>
      <c r="B37" s="8">
        <v>0.24</v>
      </c>
    </row>
    <row r="38" spans="1:2" x14ac:dyDescent="0.3">
      <c r="A38" s="6" t="s">
        <v>631</v>
      </c>
      <c r="B38" s="8">
        <v>0.26</v>
      </c>
    </row>
    <row r="39" spans="1:2" x14ac:dyDescent="0.3">
      <c r="A39" s="6" t="s">
        <v>654</v>
      </c>
      <c r="B39" s="8">
        <v>-0.11</v>
      </c>
    </row>
    <row r="40" spans="1:2" x14ac:dyDescent="0.3">
      <c r="A40" s="6" t="s">
        <v>675</v>
      </c>
      <c r="B40" s="8">
        <v>0.48</v>
      </c>
    </row>
    <row r="41" spans="1:2" x14ac:dyDescent="0.3">
      <c r="A41" s="6" t="s">
        <v>697</v>
      </c>
      <c r="B41" s="8">
        <v>0.09</v>
      </c>
    </row>
    <row r="42" spans="1:2" x14ac:dyDescent="0.3">
      <c r="A42" s="6" t="s">
        <v>1253</v>
      </c>
      <c r="B42" s="8">
        <v>0.18</v>
      </c>
    </row>
    <row r="43" spans="1:2" x14ac:dyDescent="0.3">
      <c r="A43" s="6" t="s">
        <v>739</v>
      </c>
      <c r="B43" s="8">
        <v>0.33</v>
      </c>
    </row>
    <row r="44" spans="1:2" x14ac:dyDescent="0.3">
      <c r="A44" s="6" t="s">
        <v>1273</v>
      </c>
      <c r="B44" s="8">
        <v>0.33</v>
      </c>
    </row>
    <row r="45" spans="1:2" x14ac:dyDescent="0.3">
      <c r="A45" s="6" t="s">
        <v>1283</v>
      </c>
      <c r="B45" s="8">
        <v>0.7</v>
      </c>
    </row>
    <row r="46" spans="1:2" x14ac:dyDescent="0.3">
      <c r="A46" s="6" t="s">
        <v>1293</v>
      </c>
      <c r="B46" s="8">
        <v>0.88</v>
      </c>
    </row>
    <row r="47" spans="1:2" x14ac:dyDescent="0.3">
      <c r="A47" s="6" t="s">
        <v>822</v>
      </c>
      <c r="B47" s="8">
        <v>0.67</v>
      </c>
    </row>
    <row r="48" spans="1:2" x14ac:dyDescent="0.3">
      <c r="A48" s="6" t="s">
        <v>1312</v>
      </c>
      <c r="B48" s="8">
        <v>0.57999999999999996</v>
      </c>
    </row>
    <row r="49" spans="1:2" x14ac:dyDescent="0.3">
      <c r="A49" s="6" t="s">
        <v>862</v>
      </c>
      <c r="B49" s="8">
        <v>0.16</v>
      </c>
    </row>
    <row r="50" spans="1:2" x14ac:dyDescent="0.3">
      <c r="A50" s="6" t="s">
        <v>883</v>
      </c>
      <c r="B50" s="8">
        <v>7.0000000000000007E-2</v>
      </c>
    </row>
    <row r="51" spans="1:2" x14ac:dyDescent="0.3">
      <c r="A51" s="6" t="s">
        <v>1340</v>
      </c>
      <c r="B51" s="8">
        <v>-0.32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8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4" customWidth="1"/>
    <col min="3" max="3" width="22" customWidth="1"/>
    <col min="5" max="5" width="16" customWidth="1"/>
    <col min="8" max="8" width="14" customWidth="1"/>
  </cols>
  <sheetData>
    <row r="1" spans="1:8" ht="17.399999999999999" x14ac:dyDescent="0.3">
      <c r="A1" s="1" t="s">
        <v>1357</v>
      </c>
    </row>
    <row r="2" spans="1:8" x14ac:dyDescent="0.3">
      <c r="A2" s="2" t="s">
        <v>1358</v>
      </c>
    </row>
    <row r="4" spans="1:8" x14ac:dyDescent="0.3">
      <c r="A4" s="3" t="s">
        <v>1359</v>
      </c>
      <c r="C4" s="9">
        <f>AVERAGE(C9:C928)</f>
        <v>-1.5497768736925789E-3</v>
      </c>
      <c r="E4" s="3" t="s">
        <v>1360</v>
      </c>
      <c r="H4" s="4">
        <f>C4*21</f>
        <v>-3.2545314347544159E-2</v>
      </c>
    </row>
    <row r="5" spans="1:8" x14ac:dyDescent="0.3">
      <c r="A5" s="3" t="s">
        <v>1361</v>
      </c>
      <c r="C5" s="9">
        <f>_xlfn.STDEV.S(C9:C928)</f>
        <v>0.68091976548468447</v>
      </c>
      <c r="E5" s="3" t="s">
        <v>1362</v>
      </c>
      <c r="H5" s="4">
        <f>C5*SQRT(21)</f>
        <v>3.1203663675251456</v>
      </c>
    </row>
    <row r="7" spans="1:8" x14ac:dyDescent="0.3">
      <c r="A7" s="5" t="s">
        <v>4</v>
      </c>
      <c r="B7" s="5" t="s">
        <v>1363</v>
      </c>
      <c r="C7" s="5" t="s">
        <v>1364</v>
      </c>
    </row>
    <row r="8" spans="1:8" x14ac:dyDescent="0.3">
      <c r="A8" s="6" t="s">
        <v>7</v>
      </c>
      <c r="B8" s="10">
        <v>5.3436000000000003</v>
      </c>
      <c r="C8" s="6" t="s">
        <v>1365</v>
      </c>
    </row>
    <row r="9" spans="1:8" x14ac:dyDescent="0.3">
      <c r="A9" s="6" t="s">
        <v>8</v>
      </c>
      <c r="B9" s="10">
        <v>5.3758999999999997</v>
      </c>
      <c r="C9" s="7">
        <f t="shared" ref="C9:C72" si="0">(B9-B8)/B8*100</f>
        <v>0.60446141178230639</v>
      </c>
    </row>
    <row r="10" spans="1:8" x14ac:dyDescent="0.3">
      <c r="A10" s="6" t="s">
        <v>9</v>
      </c>
      <c r="B10" s="10">
        <v>5.4459</v>
      </c>
      <c r="C10" s="7">
        <f t="shared" si="0"/>
        <v>1.3021075540839728</v>
      </c>
    </row>
    <row r="11" spans="1:8" x14ac:dyDescent="0.3">
      <c r="A11" s="6" t="s">
        <v>10</v>
      </c>
      <c r="B11" s="10">
        <v>5.4025999999999996</v>
      </c>
      <c r="C11" s="7">
        <f t="shared" si="0"/>
        <v>-0.79509355662058312</v>
      </c>
    </row>
    <row r="12" spans="1:8" x14ac:dyDescent="0.3">
      <c r="A12" s="6" t="s">
        <v>11</v>
      </c>
      <c r="B12" s="10">
        <v>5.2854999999999999</v>
      </c>
      <c r="C12" s="7">
        <f t="shared" si="0"/>
        <v>-2.1674749194832073</v>
      </c>
    </row>
    <row r="13" spans="1:8" x14ac:dyDescent="0.3">
      <c r="A13" s="6" t="s">
        <v>12</v>
      </c>
      <c r="B13" s="10">
        <v>5.2967000000000004</v>
      </c>
      <c r="C13" s="7">
        <f t="shared" si="0"/>
        <v>0.2119004824520016</v>
      </c>
    </row>
    <row r="14" spans="1:8" x14ac:dyDescent="0.3">
      <c r="A14" s="6" t="s">
        <v>13</v>
      </c>
      <c r="B14" s="10">
        <v>5.2394999999999996</v>
      </c>
      <c r="C14" s="7">
        <f t="shared" si="0"/>
        <v>-1.0799176845960843</v>
      </c>
    </row>
    <row r="15" spans="1:8" x14ac:dyDescent="0.3">
      <c r="A15" s="6" t="s">
        <v>14</v>
      </c>
      <c r="B15" s="10">
        <v>5.202</v>
      </c>
      <c r="C15" s="7">
        <f t="shared" si="0"/>
        <v>-0.71571714858287339</v>
      </c>
    </row>
    <row r="16" spans="1:8" x14ac:dyDescent="0.3">
      <c r="A16" s="6" t="s">
        <v>15</v>
      </c>
      <c r="B16" s="10">
        <v>5.14</v>
      </c>
      <c r="C16" s="7">
        <f t="shared" si="0"/>
        <v>-1.1918492887351073</v>
      </c>
    </row>
    <row r="17" spans="1:3" x14ac:dyDescent="0.3">
      <c r="A17" s="6" t="s">
        <v>16</v>
      </c>
      <c r="B17" s="10">
        <v>5.1146000000000003</v>
      </c>
      <c r="C17" s="7">
        <f t="shared" si="0"/>
        <v>-0.49416342412450243</v>
      </c>
    </row>
    <row r="18" spans="1:3" x14ac:dyDescent="0.3">
      <c r="A18" s="6" t="s">
        <v>17</v>
      </c>
      <c r="B18" s="10">
        <v>5.1115000000000004</v>
      </c>
      <c r="C18" s="7">
        <f t="shared" si="0"/>
        <v>-6.0610800453601073E-2</v>
      </c>
    </row>
    <row r="19" spans="1:3" x14ac:dyDescent="0.3">
      <c r="A19" s="6" t="s">
        <v>18</v>
      </c>
      <c r="B19" s="10">
        <v>5.1203000000000003</v>
      </c>
      <c r="C19" s="7">
        <f t="shared" si="0"/>
        <v>0.17216081385111842</v>
      </c>
    </row>
    <row r="20" spans="1:3" x14ac:dyDescent="0.3">
      <c r="A20" s="6" t="s">
        <v>19</v>
      </c>
      <c r="B20" s="10">
        <v>5.0909000000000004</v>
      </c>
      <c r="C20" s="7">
        <f t="shared" si="0"/>
        <v>-0.57418510634142272</v>
      </c>
    </row>
    <row r="21" spans="1:3" x14ac:dyDescent="0.3">
      <c r="A21" s="6" t="s">
        <v>20</v>
      </c>
      <c r="B21" s="10">
        <v>5.2144000000000004</v>
      </c>
      <c r="C21" s="7">
        <f t="shared" si="0"/>
        <v>2.4258971891021219</v>
      </c>
    </row>
    <row r="22" spans="1:3" x14ac:dyDescent="0.3">
      <c r="A22" s="6" t="s">
        <v>21</v>
      </c>
      <c r="B22" s="10">
        <v>5.1985999999999999</v>
      </c>
      <c r="C22" s="7">
        <f t="shared" si="0"/>
        <v>-0.30300705737957345</v>
      </c>
    </row>
    <row r="23" spans="1:3" x14ac:dyDescent="0.3">
      <c r="A23" s="6" t="s">
        <v>22</v>
      </c>
      <c r="B23" s="10">
        <v>5.1921999999999997</v>
      </c>
      <c r="C23" s="7">
        <f t="shared" si="0"/>
        <v>-0.12311006809525994</v>
      </c>
    </row>
    <row r="24" spans="1:3" x14ac:dyDescent="0.3">
      <c r="A24" s="6" t="s">
        <v>23</v>
      </c>
      <c r="B24" s="10">
        <v>5.1696</v>
      </c>
      <c r="C24" s="7">
        <f t="shared" si="0"/>
        <v>-0.43526828704594839</v>
      </c>
    </row>
    <row r="25" spans="1:3" x14ac:dyDescent="0.3">
      <c r="A25" s="6" t="s">
        <v>24</v>
      </c>
      <c r="B25" s="10">
        <v>5.1041999999999996</v>
      </c>
      <c r="C25" s="7">
        <f t="shared" si="0"/>
        <v>-1.2650882079851506</v>
      </c>
    </row>
    <row r="26" spans="1:3" x14ac:dyDescent="0.3">
      <c r="A26" s="6" t="s">
        <v>25</v>
      </c>
      <c r="B26" s="10">
        <v>5.0951000000000004</v>
      </c>
      <c r="C26" s="7">
        <f t="shared" si="0"/>
        <v>-0.17828454997843385</v>
      </c>
    </row>
    <row r="27" spans="1:3" x14ac:dyDescent="0.3">
      <c r="A27" s="6" t="s">
        <v>26</v>
      </c>
      <c r="B27" s="10">
        <v>5.0766999999999998</v>
      </c>
      <c r="C27" s="7">
        <f t="shared" si="0"/>
        <v>-0.36113128299740216</v>
      </c>
    </row>
    <row r="28" spans="1:3" x14ac:dyDescent="0.3">
      <c r="A28" s="6" t="s">
        <v>27</v>
      </c>
      <c r="B28" s="10">
        <v>5.0959000000000003</v>
      </c>
      <c r="C28" s="7">
        <f t="shared" si="0"/>
        <v>0.37819843599189534</v>
      </c>
    </row>
    <row r="29" spans="1:3" x14ac:dyDescent="0.3">
      <c r="A29" s="6" t="s">
        <v>28</v>
      </c>
      <c r="B29" s="10">
        <v>5.0993000000000004</v>
      </c>
      <c r="C29" s="7">
        <f t="shared" si="0"/>
        <v>6.6720304558568047E-2</v>
      </c>
    </row>
    <row r="30" spans="1:3" x14ac:dyDescent="0.3">
      <c r="A30" s="6" t="s">
        <v>29</v>
      </c>
      <c r="B30" s="10">
        <v>5.0720999999999998</v>
      </c>
      <c r="C30" s="7">
        <f t="shared" si="0"/>
        <v>-0.53340654599652015</v>
      </c>
    </row>
    <row r="31" spans="1:3" x14ac:dyDescent="0.3">
      <c r="A31" s="6" t="s">
        <v>30</v>
      </c>
      <c r="B31" s="10">
        <v>4.9901</v>
      </c>
      <c r="C31" s="7">
        <f t="shared" si="0"/>
        <v>-1.6166873681512559</v>
      </c>
    </row>
    <row r="32" spans="1:3" x14ac:dyDescent="0.3">
      <c r="A32" s="6" t="s">
        <v>31</v>
      </c>
      <c r="B32" s="10">
        <v>5.1029999999999998</v>
      </c>
      <c r="C32" s="7">
        <f t="shared" si="0"/>
        <v>2.2624797098254499</v>
      </c>
    </row>
    <row r="33" spans="1:3" x14ac:dyDescent="0.3">
      <c r="A33" s="6" t="s">
        <v>32</v>
      </c>
      <c r="B33" s="10">
        <v>5.1763000000000003</v>
      </c>
      <c r="C33" s="7">
        <f t="shared" si="0"/>
        <v>1.436409954928485</v>
      </c>
    </row>
    <row r="34" spans="1:3" x14ac:dyDescent="0.3">
      <c r="A34" s="6" t="s">
        <v>33</v>
      </c>
      <c r="B34" s="10">
        <v>5.1695000000000002</v>
      </c>
      <c r="C34" s="7">
        <f t="shared" si="0"/>
        <v>-0.13136796553523056</v>
      </c>
    </row>
    <row r="35" spans="1:3" x14ac:dyDescent="0.3">
      <c r="A35" s="6" t="s">
        <v>34</v>
      </c>
      <c r="B35" s="10">
        <v>5.2035999999999998</v>
      </c>
      <c r="C35" s="7">
        <f t="shared" si="0"/>
        <v>0.65963826288808536</v>
      </c>
    </row>
    <row r="36" spans="1:3" x14ac:dyDescent="0.3">
      <c r="A36" s="6" t="s">
        <v>35</v>
      </c>
      <c r="B36" s="10">
        <v>5.2314999999999996</v>
      </c>
      <c r="C36" s="7">
        <f t="shared" si="0"/>
        <v>0.53616726881389443</v>
      </c>
    </row>
    <row r="37" spans="1:3" x14ac:dyDescent="0.3">
      <c r="A37" s="6" t="s">
        <v>36</v>
      </c>
      <c r="B37" s="10">
        <v>5.2526000000000002</v>
      </c>
      <c r="C37" s="7">
        <f t="shared" si="0"/>
        <v>0.40332600592565349</v>
      </c>
    </row>
    <row r="38" spans="1:3" x14ac:dyDescent="0.3">
      <c r="A38" s="6" t="s">
        <v>37</v>
      </c>
      <c r="B38" s="10">
        <v>5.1833999999999998</v>
      </c>
      <c r="C38" s="7">
        <f t="shared" si="0"/>
        <v>-1.317442790237223</v>
      </c>
    </row>
    <row r="39" spans="1:3" x14ac:dyDescent="0.3">
      <c r="A39" s="6" t="s">
        <v>38</v>
      </c>
      <c r="B39" s="10">
        <v>5.1506999999999996</v>
      </c>
      <c r="C39" s="7">
        <f t="shared" si="0"/>
        <v>-0.63086005324690697</v>
      </c>
    </row>
    <row r="40" spans="1:3" x14ac:dyDescent="0.3">
      <c r="A40" s="6" t="s">
        <v>39</v>
      </c>
      <c r="B40" s="10">
        <v>5.2243000000000004</v>
      </c>
      <c r="C40" s="7">
        <f t="shared" si="0"/>
        <v>1.4289319898266408</v>
      </c>
    </row>
    <row r="41" spans="1:3" x14ac:dyDescent="0.3">
      <c r="A41" s="6" t="s">
        <v>40</v>
      </c>
      <c r="B41" s="10">
        <v>5.2431999999999999</v>
      </c>
      <c r="C41" s="7">
        <f t="shared" si="0"/>
        <v>0.36177095496046308</v>
      </c>
    </row>
    <row r="42" spans="1:3" x14ac:dyDescent="0.3">
      <c r="A42" s="6" t="s">
        <v>41</v>
      </c>
      <c r="B42" s="10">
        <v>5.2012</v>
      </c>
      <c r="C42" s="7">
        <f t="shared" si="0"/>
        <v>-0.80103753433017655</v>
      </c>
    </row>
    <row r="43" spans="1:3" x14ac:dyDescent="0.3">
      <c r="A43" s="6" t="s">
        <v>42</v>
      </c>
      <c r="B43" s="10">
        <v>5.173</v>
      </c>
      <c r="C43" s="7">
        <f t="shared" si="0"/>
        <v>-0.54218257325232644</v>
      </c>
    </row>
    <row r="44" spans="1:3" x14ac:dyDescent="0.3">
      <c r="A44" s="6" t="s">
        <v>43</v>
      </c>
      <c r="B44" s="10">
        <v>5.133</v>
      </c>
      <c r="C44" s="7">
        <f t="shared" si="0"/>
        <v>-0.77324569882080096</v>
      </c>
    </row>
    <row r="45" spans="1:3" x14ac:dyDescent="0.3">
      <c r="A45" s="6" t="s">
        <v>44</v>
      </c>
      <c r="B45" s="10">
        <v>5.1791</v>
      </c>
      <c r="C45" s="7">
        <f t="shared" si="0"/>
        <v>0.89811026690044871</v>
      </c>
    </row>
    <row r="46" spans="1:3" x14ac:dyDescent="0.3">
      <c r="A46" s="6" t="s">
        <v>45</v>
      </c>
      <c r="B46" s="10">
        <v>5.1959999999999997</v>
      </c>
      <c r="C46" s="7">
        <f t="shared" si="0"/>
        <v>0.32631152130678481</v>
      </c>
    </row>
    <row r="47" spans="1:3" x14ac:dyDescent="0.3">
      <c r="A47" s="6" t="s">
        <v>46</v>
      </c>
      <c r="B47" s="10">
        <v>5.2077999999999998</v>
      </c>
      <c r="C47" s="7">
        <f t="shared" si="0"/>
        <v>0.22709776751347255</v>
      </c>
    </row>
    <row r="48" spans="1:3" x14ac:dyDescent="0.3">
      <c r="A48" s="6" t="s">
        <v>47</v>
      </c>
      <c r="B48" s="10">
        <v>5.2069999999999999</v>
      </c>
      <c r="C48" s="7">
        <f t="shared" si="0"/>
        <v>-1.5361573025076078E-2</v>
      </c>
    </row>
    <row r="49" spans="1:3" x14ac:dyDescent="0.3">
      <c r="A49" s="6" t="s">
        <v>48</v>
      </c>
      <c r="B49" s="10">
        <v>5.2080000000000002</v>
      </c>
      <c r="C49" s="7">
        <f t="shared" si="0"/>
        <v>1.9204916458619822E-2</v>
      </c>
    </row>
    <row r="50" spans="1:3" x14ac:dyDescent="0.3">
      <c r="A50" s="6" t="s">
        <v>49</v>
      </c>
      <c r="B50" s="10">
        <v>5.2037000000000004</v>
      </c>
      <c r="C50" s="7">
        <f t="shared" si="0"/>
        <v>-8.2565284178182569E-2</v>
      </c>
    </row>
    <row r="51" spans="1:3" x14ac:dyDescent="0.3">
      <c r="A51" s="6" t="s">
        <v>50</v>
      </c>
      <c r="B51" s="10">
        <v>5.1970000000000001</v>
      </c>
      <c r="C51" s="7">
        <f t="shared" si="0"/>
        <v>-0.12875454003882569</v>
      </c>
    </row>
    <row r="52" spans="1:3" x14ac:dyDescent="0.3">
      <c r="A52" s="6" t="s">
        <v>51</v>
      </c>
      <c r="B52" s="10">
        <v>5.1901000000000002</v>
      </c>
      <c r="C52" s="7">
        <f t="shared" si="0"/>
        <v>-0.13276890513757758</v>
      </c>
    </row>
    <row r="53" spans="1:3" x14ac:dyDescent="0.3">
      <c r="A53" s="6" t="s">
        <v>52</v>
      </c>
      <c r="B53" s="10">
        <v>5.1387</v>
      </c>
      <c r="C53" s="7">
        <f t="shared" si="0"/>
        <v>-0.99034700680141252</v>
      </c>
    </row>
    <row r="54" spans="1:3" x14ac:dyDescent="0.3">
      <c r="A54" s="6" t="s">
        <v>53</v>
      </c>
      <c r="B54" s="10">
        <v>5.1353</v>
      </c>
      <c r="C54" s="7">
        <f t="shared" si="0"/>
        <v>-6.6164594158056894E-2</v>
      </c>
    </row>
    <row r="55" spans="1:3" x14ac:dyDescent="0.3">
      <c r="A55" s="6" t="s">
        <v>54</v>
      </c>
      <c r="B55" s="10">
        <v>5.1821999999999999</v>
      </c>
      <c r="C55" s="7">
        <f t="shared" si="0"/>
        <v>0.91328646817128378</v>
      </c>
    </row>
    <row r="56" spans="1:3" x14ac:dyDescent="0.3">
      <c r="A56" s="6" t="s">
        <v>55</v>
      </c>
      <c r="B56" s="10">
        <v>5.24</v>
      </c>
      <c r="C56" s="7">
        <f t="shared" si="0"/>
        <v>1.1153564123345354</v>
      </c>
    </row>
    <row r="57" spans="1:3" x14ac:dyDescent="0.3">
      <c r="A57" s="6" t="s">
        <v>56</v>
      </c>
      <c r="B57" s="10">
        <v>5.2362000000000002</v>
      </c>
      <c r="C57" s="7">
        <f t="shared" si="0"/>
        <v>-7.251908396946613E-2</v>
      </c>
    </row>
    <row r="58" spans="1:3" x14ac:dyDescent="0.3">
      <c r="A58" s="6" t="s">
        <v>57</v>
      </c>
      <c r="B58" s="10">
        <v>5.2980999999999998</v>
      </c>
      <c r="C58" s="7">
        <f t="shared" si="0"/>
        <v>1.1821549978992327</v>
      </c>
    </row>
    <row r="59" spans="1:3" x14ac:dyDescent="0.3">
      <c r="A59" s="6" t="s">
        <v>58</v>
      </c>
      <c r="B59" s="10">
        <v>5.2892000000000001</v>
      </c>
      <c r="C59" s="7">
        <f t="shared" si="0"/>
        <v>-0.16798474924972509</v>
      </c>
    </row>
    <row r="60" spans="1:3" x14ac:dyDescent="0.3">
      <c r="A60" s="6" t="s">
        <v>59</v>
      </c>
      <c r="B60" s="10">
        <v>5.2679</v>
      </c>
      <c r="C60" s="7">
        <f t="shared" si="0"/>
        <v>-0.40270740376616682</v>
      </c>
    </row>
    <row r="61" spans="1:3" x14ac:dyDescent="0.3">
      <c r="A61" s="6" t="s">
        <v>60</v>
      </c>
      <c r="B61" s="10">
        <v>5.2466999999999997</v>
      </c>
      <c r="C61" s="7">
        <f t="shared" si="0"/>
        <v>-0.40243740389909316</v>
      </c>
    </row>
    <row r="62" spans="1:3" x14ac:dyDescent="0.3">
      <c r="A62" s="6" t="s">
        <v>61</v>
      </c>
      <c r="B62" s="10">
        <v>5.2443999999999997</v>
      </c>
      <c r="C62" s="7">
        <f t="shared" si="0"/>
        <v>-4.3837078544608395E-2</v>
      </c>
    </row>
    <row r="63" spans="1:3" x14ac:dyDescent="0.3">
      <c r="A63" s="6" t="s">
        <v>62</v>
      </c>
      <c r="B63" s="10">
        <v>5.2648000000000001</v>
      </c>
      <c r="C63" s="7">
        <f t="shared" si="0"/>
        <v>0.3889863473419346</v>
      </c>
    </row>
    <row r="64" spans="1:3" x14ac:dyDescent="0.3">
      <c r="A64" s="6" t="s">
        <v>63</v>
      </c>
      <c r="B64" s="10">
        <v>5.2632000000000003</v>
      </c>
      <c r="C64" s="7">
        <f t="shared" si="0"/>
        <v>-3.0390518158331249E-2</v>
      </c>
    </row>
    <row r="65" spans="1:3" x14ac:dyDescent="0.3">
      <c r="A65" s="6" t="s">
        <v>64</v>
      </c>
      <c r="B65" s="10">
        <v>5.2920999999999996</v>
      </c>
      <c r="C65" s="7">
        <f t="shared" si="0"/>
        <v>0.54909560723512807</v>
      </c>
    </row>
    <row r="66" spans="1:3" x14ac:dyDescent="0.3">
      <c r="A66" s="6" t="s">
        <v>65</v>
      </c>
      <c r="B66" s="10">
        <v>5.2305999999999999</v>
      </c>
      <c r="C66" s="7">
        <f t="shared" si="0"/>
        <v>-1.1621095595321267</v>
      </c>
    </row>
    <row r="67" spans="1:3" x14ac:dyDescent="0.3">
      <c r="A67" s="6" t="s">
        <v>66</v>
      </c>
      <c r="B67" s="10">
        <v>5.1733000000000002</v>
      </c>
      <c r="C67" s="7">
        <f t="shared" si="0"/>
        <v>-1.0954766183611762</v>
      </c>
    </row>
    <row r="68" spans="1:3" x14ac:dyDescent="0.3">
      <c r="A68" s="6" t="s">
        <v>67</v>
      </c>
      <c r="B68" s="10">
        <v>5.1493000000000002</v>
      </c>
      <c r="C68" s="7">
        <f t="shared" si="0"/>
        <v>-0.463920514951772</v>
      </c>
    </row>
    <row r="69" spans="1:3" x14ac:dyDescent="0.3">
      <c r="A69" s="6" t="s">
        <v>68</v>
      </c>
      <c r="B69" s="10">
        <v>5.1254</v>
      </c>
      <c r="C69" s="7">
        <f t="shared" si="0"/>
        <v>-0.46414075699610152</v>
      </c>
    </row>
    <row r="70" spans="1:3" x14ac:dyDescent="0.3">
      <c r="A70" s="6" t="s">
        <v>69</v>
      </c>
      <c r="B70" s="10">
        <v>5.0804</v>
      </c>
      <c r="C70" s="7">
        <f t="shared" si="0"/>
        <v>-0.87798025519959277</v>
      </c>
    </row>
    <row r="71" spans="1:3" x14ac:dyDescent="0.3">
      <c r="A71" s="6" t="s">
        <v>70</v>
      </c>
      <c r="B71" s="10">
        <v>5.0636999999999999</v>
      </c>
      <c r="C71" s="7">
        <f t="shared" si="0"/>
        <v>-0.32871427446658058</v>
      </c>
    </row>
    <row r="72" spans="1:3" x14ac:dyDescent="0.3">
      <c r="A72" s="6" t="s">
        <v>71</v>
      </c>
      <c r="B72" s="10">
        <v>5.0762</v>
      </c>
      <c r="C72" s="7">
        <f t="shared" si="0"/>
        <v>0.2468550664533874</v>
      </c>
    </row>
    <row r="73" spans="1:3" x14ac:dyDescent="0.3">
      <c r="A73" s="6" t="s">
        <v>72</v>
      </c>
      <c r="B73" s="10">
        <v>5.0446999999999997</v>
      </c>
      <c r="C73" s="7">
        <f t="shared" ref="C73:C136" si="1">(B73-B72)/B72*100</f>
        <v>-0.62054292581065185</v>
      </c>
    </row>
    <row r="74" spans="1:3" x14ac:dyDescent="0.3">
      <c r="A74" s="6" t="s">
        <v>73</v>
      </c>
      <c r="B74" s="10">
        <v>5.0682999999999998</v>
      </c>
      <c r="C74" s="7">
        <f t="shared" si="1"/>
        <v>0.46781770967550235</v>
      </c>
    </row>
    <row r="75" spans="1:3" x14ac:dyDescent="0.3">
      <c r="A75" s="6" t="s">
        <v>74</v>
      </c>
      <c r="B75" s="10">
        <v>5.0834000000000001</v>
      </c>
      <c r="C75" s="7">
        <f t="shared" si="1"/>
        <v>0.29793027247795778</v>
      </c>
    </row>
    <row r="76" spans="1:3" x14ac:dyDescent="0.3">
      <c r="A76" s="6" t="s">
        <v>75</v>
      </c>
      <c r="B76" s="10">
        <v>5.0128000000000004</v>
      </c>
      <c r="C76" s="7">
        <f t="shared" si="1"/>
        <v>-1.388834244796785</v>
      </c>
    </row>
    <row r="77" spans="1:3" x14ac:dyDescent="0.3">
      <c r="A77" s="6" t="s">
        <v>76</v>
      </c>
      <c r="B77" s="10">
        <v>4.9496000000000002</v>
      </c>
      <c r="C77" s="7">
        <f t="shared" si="1"/>
        <v>-1.2607724225981516</v>
      </c>
    </row>
    <row r="78" spans="1:3" x14ac:dyDescent="0.3">
      <c r="A78" s="6" t="s">
        <v>77</v>
      </c>
      <c r="B78" s="10">
        <v>4.9097</v>
      </c>
      <c r="C78" s="7">
        <f t="shared" si="1"/>
        <v>-0.80612574753515975</v>
      </c>
    </row>
    <row r="79" spans="1:3" x14ac:dyDescent="0.3">
      <c r="A79" s="6" t="s">
        <v>78</v>
      </c>
      <c r="B79" s="10">
        <v>4.9455</v>
      </c>
      <c r="C79" s="7">
        <f t="shared" si="1"/>
        <v>0.72916878831700616</v>
      </c>
    </row>
    <row r="80" spans="1:3" x14ac:dyDescent="0.3">
      <c r="A80" s="6" t="s">
        <v>79</v>
      </c>
      <c r="B80" s="10">
        <v>4.9420999999999999</v>
      </c>
      <c r="C80" s="7">
        <f t="shared" si="1"/>
        <v>-6.8749368112426851E-2</v>
      </c>
    </row>
    <row r="81" spans="1:3" x14ac:dyDescent="0.3">
      <c r="A81" s="6" t="s">
        <v>80</v>
      </c>
      <c r="B81" s="10">
        <v>4.9678000000000004</v>
      </c>
      <c r="C81" s="7">
        <f t="shared" si="1"/>
        <v>0.52002185305842663</v>
      </c>
    </row>
    <row r="82" spans="1:3" x14ac:dyDescent="0.3">
      <c r="A82" s="6" t="s">
        <v>81</v>
      </c>
      <c r="B82" s="10">
        <v>5.0467000000000004</v>
      </c>
      <c r="C82" s="7">
        <f t="shared" si="1"/>
        <v>1.5882281895406409</v>
      </c>
    </row>
    <row r="83" spans="1:3" x14ac:dyDescent="0.3">
      <c r="A83" s="6" t="s">
        <v>82</v>
      </c>
      <c r="B83" s="10">
        <v>5.0496999999999996</v>
      </c>
      <c r="C83" s="7">
        <f t="shared" si="1"/>
        <v>5.94447857015322E-2</v>
      </c>
    </row>
    <row r="84" spans="1:3" x14ac:dyDescent="0.3">
      <c r="A84" s="6" t="s">
        <v>83</v>
      </c>
      <c r="B84" s="10">
        <v>5.0594999999999999</v>
      </c>
      <c r="C84" s="7">
        <f t="shared" si="1"/>
        <v>0.1940709349070292</v>
      </c>
    </row>
    <row r="85" spans="1:3" x14ac:dyDescent="0.3">
      <c r="A85" s="6" t="s">
        <v>84</v>
      </c>
      <c r="B85" s="10">
        <v>5.0613000000000001</v>
      </c>
      <c r="C85" s="7">
        <f t="shared" si="1"/>
        <v>3.5576638007713129E-2</v>
      </c>
    </row>
    <row r="86" spans="1:3" x14ac:dyDescent="0.3">
      <c r="A86" s="6" t="s">
        <v>85</v>
      </c>
      <c r="B86" s="10">
        <v>5.0585000000000004</v>
      </c>
      <c r="C86" s="7">
        <f t="shared" si="1"/>
        <v>-5.5321755280257873E-2</v>
      </c>
    </row>
    <row r="87" spans="1:3" x14ac:dyDescent="0.3">
      <c r="A87" s="6" t="s">
        <v>86</v>
      </c>
      <c r="B87" s="10">
        <v>5.0149999999999997</v>
      </c>
      <c r="C87" s="7">
        <f t="shared" si="1"/>
        <v>-0.85993871701098656</v>
      </c>
    </row>
    <row r="88" spans="1:3" x14ac:dyDescent="0.3">
      <c r="A88" s="6" t="s">
        <v>87</v>
      </c>
      <c r="B88" s="10">
        <v>5.0007000000000001</v>
      </c>
      <c r="C88" s="7">
        <f t="shared" si="1"/>
        <v>-0.28514456630108748</v>
      </c>
    </row>
    <row r="89" spans="1:3" x14ac:dyDescent="0.3">
      <c r="A89" s="6" t="s">
        <v>88</v>
      </c>
      <c r="B89" s="10">
        <v>5.0334000000000003</v>
      </c>
      <c r="C89" s="7">
        <f t="shared" si="1"/>
        <v>0.65390845281660914</v>
      </c>
    </row>
    <row r="90" spans="1:3" x14ac:dyDescent="0.3">
      <c r="A90" s="6" t="s">
        <v>89</v>
      </c>
      <c r="B90" s="10">
        <v>5.0227000000000004</v>
      </c>
      <c r="C90" s="7">
        <f t="shared" si="1"/>
        <v>-0.21257996582826583</v>
      </c>
    </row>
    <row r="91" spans="1:3" x14ac:dyDescent="0.3">
      <c r="A91" s="6" t="s">
        <v>90</v>
      </c>
      <c r="B91" s="10">
        <v>5.0106000000000002</v>
      </c>
      <c r="C91" s="7">
        <f t="shared" si="1"/>
        <v>-0.24090628546399787</v>
      </c>
    </row>
    <row r="92" spans="1:3" x14ac:dyDescent="0.3">
      <c r="A92" s="6" t="s">
        <v>91</v>
      </c>
      <c r="B92" s="10">
        <v>4.9695999999999998</v>
      </c>
      <c r="C92" s="7">
        <f t="shared" si="1"/>
        <v>-0.81826527761147105</v>
      </c>
    </row>
    <row r="93" spans="1:3" x14ac:dyDescent="0.3">
      <c r="A93" s="6" t="s">
        <v>92</v>
      </c>
      <c r="B93" s="10">
        <v>4.9695999999999998</v>
      </c>
      <c r="C93" s="7">
        <f t="shared" si="1"/>
        <v>0</v>
      </c>
    </row>
    <row r="94" spans="1:3" x14ac:dyDescent="0.3">
      <c r="A94" s="6" t="s">
        <v>93</v>
      </c>
      <c r="B94" s="10">
        <v>5.0007000000000001</v>
      </c>
      <c r="C94" s="7">
        <f t="shared" si="1"/>
        <v>0.62580489375403148</v>
      </c>
    </row>
    <row r="95" spans="1:3" x14ac:dyDescent="0.3">
      <c r="A95" s="6" t="s">
        <v>94</v>
      </c>
      <c r="B95" s="10">
        <v>4.9546999999999999</v>
      </c>
      <c r="C95" s="7">
        <f t="shared" si="1"/>
        <v>-0.91987121802948113</v>
      </c>
    </row>
    <row r="96" spans="1:3" x14ac:dyDescent="0.3">
      <c r="A96" s="6" t="s">
        <v>95</v>
      </c>
      <c r="B96" s="10">
        <v>4.9695999999999998</v>
      </c>
      <c r="C96" s="7">
        <f t="shared" si="1"/>
        <v>0.30072456455486535</v>
      </c>
    </row>
    <row r="97" spans="1:3" x14ac:dyDescent="0.3">
      <c r="A97" s="6" t="s">
        <v>96</v>
      </c>
      <c r="B97" s="10">
        <v>4.9234</v>
      </c>
      <c r="C97" s="7">
        <f t="shared" si="1"/>
        <v>-0.92965228589825744</v>
      </c>
    </row>
    <row r="98" spans="1:3" x14ac:dyDescent="0.3">
      <c r="A98" s="6" t="s">
        <v>97</v>
      </c>
      <c r="B98" s="10">
        <v>4.9103000000000003</v>
      </c>
      <c r="C98" s="7">
        <f t="shared" si="1"/>
        <v>-0.26607628874354444</v>
      </c>
    </row>
    <row r="99" spans="1:3" x14ac:dyDescent="0.3">
      <c r="A99" s="6" t="s">
        <v>98</v>
      </c>
      <c r="B99" s="10">
        <v>4.9122000000000003</v>
      </c>
      <c r="C99" s="7">
        <f t="shared" si="1"/>
        <v>3.8694173472089539E-2</v>
      </c>
    </row>
    <row r="100" spans="1:3" x14ac:dyDescent="0.3">
      <c r="A100" s="6" t="s">
        <v>99</v>
      </c>
      <c r="B100" s="10">
        <v>4.9512999999999998</v>
      </c>
      <c r="C100" s="7">
        <f t="shared" si="1"/>
        <v>0.79597736248522999</v>
      </c>
    </row>
    <row r="101" spans="1:3" x14ac:dyDescent="0.3">
      <c r="A101" s="6" t="s">
        <v>100</v>
      </c>
      <c r="B101" s="10">
        <v>4.9646999999999997</v>
      </c>
      <c r="C101" s="7">
        <f t="shared" si="1"/>
        <v>0.27063599458727722</v>
      </c>
    </row>
    <row r="102" spans="1:3" x14ac:dyDescent="0.3">
      <c r="A102" s="6" t="s">
        <v>101</v>
      </c>
      <c r="B102" s="10">
        <v>4.9858000000000002</v>
      </c>
      <c r="C102" s="7">
        <f t="shared" si="1"/>
        <v>0.42500050355511038</v>
      </c>
    </row>
    <row r="103" spans="1:3" x14ac:dyDescent="0.3">
      <c r="A103" s="6" t="s">
        <v>102</v>
      </c>
      <c r="B103" s="10">
        <v>4.968</v>
      </c>
      <c r="C103" s="7">
        <f t="shared" si="1"/>
        <v>-0.35701391953147454</v>
      </c>
    </row>
    <row r="104" spans="1:3" x14ac:dyDescent="0.3">
      <c r="A104" s="6" t="s">
        <v>103</v>
      </c>
      <c r="B104" s="10">
        <v>4.9673999999999996</v>
      </c>
      <c r="C104" s="7">
        <f t="shared" si="1"/>
        <v>-1.2077294685997948E-2</v>
      </c>
    </row>
    <row r="105" spans="1:3" x14ac:dyDescent="0.3">
      <c r="A105" s="6" t="s">
        <v>104</v>
      </c>
      <c r="B105" s="10">
        <v>4.9474</v>
      </c>
      <c r="C105" s="7">
        <f t="shared" si="1"/>
        <v>-0.40262511575471227</v>
      </c>
    </row>
    <row r="106" spans="1:3" x14ac:dyDescent="0.3">
      <c r="A106" s="6" t="s">
        <v>105</v>
      </c>
      <c r="B106" s="10">
        <v>4.9989999999999997</v>
      </c>
      <c r="C106" s="7">
        <f t="shared" si="1"/>
        <v>1.0429720661357409</v>
      </c>
    </row>
    <row r="107" spans="1:3" x14ac:dyDescent="0.3">
      <c r="A107" s="6" t="s">
        <v>106</v>
      </c>
      <c r="B107" s="10">
        <v>5.0114000000000001</v>
      </c>
      <c r="C107" s="7">
        <f t="shared" si="1"/>
        <v>0.2480496099219926</v>
      </c>
    </row>
    <row r="108" spans="1:3" x14ac:dyDescent="0.3">
      <c r="A108" s="6" t="s">
        <v>107</v>
      </c>
      <c r="B108" s="10">
        <v>4.9954000000000001</v>
      </c>
      <c r="C108" s="7">
        <f t="shared" si="1"/>
        <v>-0.31927205970387545</v>
      </c>
    </row>
    <row r="109" spans="1:3" x14ac:dyDescent="0.3">
      <c r="A109" s="6" t="s">
        <v>108</v>
      </c>
      <c r="B109" s="10">
        <v>5.0593000000000004</v>
      </c>
      <c r="C109" s="7">
        <f t="shared" si="1"/>
        <v>1.2791768426952854</v>
      </c>
    </row>
    <row r="110" spans="1:3" x14ac:dyDescent="0.3">
      <c r="A110" s="6" t="s">
        <v>109</v>
      </c>
      <c r="B110" s="10">
        <v>5.0959000000000003</v>
      </c>
      <c r="C110" s="7">
        <f t="shared" si="1"/>
        <v>0.72342023600102712</v>
      </c>
    </row>
    <row r="111" spans="1:3" x14ac:dyDescent="0.3">
      <c r="A111" s="6" t="s">
        <v>110</v>
      </c>
      <c r="B111" s="10">
        <v>5.0350000000000001</v>
      </c>
      <c r="C111" s="7">
        <f t="shared" si="1"/>
        <v>-1.1950783963578597</v>
      </c>
    </row>
    <row r="112" spans="1:3" x14ac:dyDescent="0.3">
      <c r="A112" s="6" t="s">
        <v>111</v>
      </c>
      <c r="B112" s="10">
        <v>4.9558</v>
      </c>
      <c r="C112" s="7">
        <f t="shared" si="1"/>
        <v>-1.5729890764647498</v>
      </c>
    </row>
    <row r="113" spans="1:3" x14ac:dyDescent="0.3">
      <c r="A113" s="6" t="s">
        <v>112</v>
      </c>
      <c r="B113" s="10">
        <v>4.9236000000000004</v>
      </c>
      <c r="C113" s="7">
        <f t="shared" si="1"/>
        <v>-0.64974373461397883</v>
      </c>
    </row>
    <row r="114" spans="1:3" x14ac:dyDescent="0.3">
      <c r="A114" s="6" t="s">
        <v>113</v>
      </c>
      <c r="B114" s="10">
        <v>4.9291999999999998</v>
      </c>
      <c r="C114" s="7">
        <f t="shared" si="1"/>
        <v>0.11373791534648189</v>
      </c>
    </row>
    <row r="115" spans="1:3" x14ac:dyDescent="0.3">
      <c r="A115" s="6" t="s">
        <v>114</v>
      </c>
      <c r="B115" s="10">
        <v>4.9119000000000002</v>
      </c>
      <c r="C115" s="7">
        <f t="shared" si="1"/>
        <v>-0.3509697313965684</v>
      </c>
    </row>
    <row r="116" spans="1:3" x14ac:dyDescent="0.3">
      <c r="A116" s="6" t="s">
        <v>115</v>
      </c>
      <c r="B116" s="10">
        <v>4.8921999999999999</v>
      </c>
      <c r="C116" s="7">
        <f t="shared" si="1"/>
        <v>-0.40106679696248437</v>
      </c>
    </row>
    <row r="117" spans="1:3" x14ac:dyDescent="0.3">
      <c r="A117" s="6" t="s">
        <v>116</v>
      </c>
      <c r="B117" s="10">
        <v>4.8832000000000004</v>
      </c>
      <c r="C117" s="7">
        <f t="shared" si="1"/>
        <v>-0.18396631372387581</v>
      </c>
    </row>
    <row r="118" spans="1:3" x14ac:dyDescent="0.3">
      <c r="A118" s="6" t="s">
        <v>117</v>
      </c>
      <c r="B118" s="10">
        <v>4.8532999999999999</v>
      </c>
      <c r="C118" s="7">
        <f t="shared" si="1"/>
        <v>-0.61230340760158264</v>
      </c>
    </row>
    <row r="119" spans="1:3" x14ac:dyDescent="0.3">
      <c r="A119" s="6" t="s">
        <v>118</v>
      </c>
      <c r="B119" s="10">
        <v>4.8461999999999996</v>
      </c>
      <c r="C119" s="7">
        <f t="shared" si="1"/>
        <v>-0.14629221354542946</v>
      </c>
    </row>
    <row r="120" spans="1:3" x14ac:dyDescent="0.3">
      <c r="A120" s="6" t="s">
        <v>119</v>
      </c>
      <c r="B120" s="10">
        <v>4.8221999999999996</v>
      </c>
      <c r="C120" s="7">
        <f t="shared" si="1"/>
        <v>-0.49523337872972689</v>
      </c>
    </row>
    <row r="121" spans="1:3" x14ac:dyDescent="0.3">
      <c r="A121" s="6" t="s">
        <v>120</v>
      </c>
      <c r="B121" s="10">
        <v>4.8285999999999998</v>
      </c>
      <c r="C121" s="7">
        <f t="shared" si="1"/>
        <v>0.13271950561984538</v>
      </c>
    </row>
    <row r="122" spans="1:3" x14ac:dyDescent="0.3">
      <c r="A122" s="6" t="s">
        <v>121</v>
      </c>
      <c r="B122" s="10">
        <v>4.7803000000000004</v>
      </c>
      <c r="C122" s="7">
        <f t="shared" si="1"/>
        <v>-1.0002899391127729</v>
      </c>
    </row>
    <row r="123" spans="1:3" x14ac:dyDescent="0.3">
      <c r="A123" s="6" t="s">
        <v>122</v>
      </c>
      <c r="B123" s="10">
        <v>4.7930000000000001</v>
      </c>
      <c r="C123" s="7">
        <f t="shared" si="1"/>
        <v>0.2656737024872855</v>
      </c>
    </row>
    <row r="124" spans="1:3" x14ac:dyDescent="0.3">
      <c r="A124" s="6" t="s">
        <v>123</v>
      </c>
      <c r="B124" s="10">
        <v>4.7794999999999996</v>
      </c>
      <c r="C124" s="7">
        <f t="shared" si="1"/>
        <v>-0.28166075526810996</v>
      </c>
    </row>
    <row r="125" spans="1:3" x14ac:dyDescent="0.3">
      <c r="A125" s="6" t="s">
        <v>124</v>
      </c>
      <c r="B125" s="10">
        <v>4.7750000000000004</v>
      </c>
      <c r="C125" s="7">
        <f t="shared" si="1"/>
        <v>-9.4152107961068793E-2</v>
      </c>
    </row>
    <row r="126" spans="1:3" x14ac:dyDescent="0.3">
      <c r="A126" s="6" t="s">
        <v>125</v>
      </c>
      <c r="B126" s="10">
        <v>4.7798999999999996</v>
      </c>
      <c r="C126" s="7">
        <f t="shared" si="1"/>
        <v>0.10261780104710445</v>
      </c>
    </row>
    <row r="127" spans="1:3" x14ac:dyDescent="0.3">
      <c r="A127" s="6" t="s">
        <v>126</v>
      </c>
      <c r="B127" s="10">
        <v>4.7698</v>
      </c>
      <c r="C127" s="7">
        <f t="shared" si="1"/>
        <v>-0.21130149166299619</v>
      </c>
    </row>
    <row r="128" spans="1:3" x14ac:dyDescent="0.3">
      <c r="A128" s="6" t="s">
        <v>127</v>
      </c>
      <c r="B128" s="10">
        <v>4.7903000000000002</v>
      </c>
      <c r="C128" s="7">
        <f t="shared" si="1"/>
        <v>0.42978741247012842</v>
      </c>
    </row>
    <row r="129" spans="1:3" x14ac:dyDescent="0.3">
      <c r="A129" s="6" t="s">
        <v>128</v>
      </c>
      <c r="B129" s="10">
        <v>4.8563000000000001</v>
      </c>
      <c r="C129" s="7">
        <f t="shared" si="1"/>
        <v>1.3777842723837721</v>
      </c>
    </row>
    <row r="130" spans="1:3" x14ac:dyDescent="0.3">
      <c r="A130" s="6" t="s">
        <v>129</v>
      </c>
      <c r="B130" s="10">
        <v>4.8583999999999996</v>
      </c>
      <c r="C130" s="7">
        <f t="shared" si="1"/>
        <v>4.3242798014940319E-2</v>
      </c>
    </row>
    <row r="131" spans="1:3" x14ac:dyDescent="0.3">
      <c r="A131" s="6" t="s">
        <v>130</v>
      </c>
      <c r="B131" s="10">
        <v>4.8192000000000004</v>
      </c>
      <c r="C131" s="7">
        <f t="shared" si="1"/>
        <v>-0.80684999176682126</v>
      </c>
    </row>
    <row r="132" spans="1:3" x14ac:dyDescent="0.3">
      <c r="A132" s="6" t="s">
        <v>131</v>
      </c>
      <c r="B132" s="10">
        <v>4.7876000000000003</v>
      </c>
      <c r="C132" s="7">
        <f t="shared" si="1"/>
        <v>-0.6557104913678633</v>
      </c>
    </row>
    <row r="133" spans="1:3" x14ac:dyDescent="0.3">
      <c r="A133" s="6" t="s">
        <v>132</v>
      </c>
      <c r="B133" s="10">
        <v>4.8056000000000001</v>
      </c>
      <c r="C133" s="7">
        <f t="shared" si="1"/>
        <v>0.37597125908596779</v>
      </c>
    </row>
    <row r="134" spans="1:3" x14ac:dyDescent="0.3">
      <c r="A134" s="6" t="s">
        <v>133</v>
      </c>
      <c r="B134" s="10">
        <v>4.8577000000000004</v>
      </c>
      <c r="C134" s="7">
        <f t="shared" si="1"/>
        <v>1.0841518228733198</v>
      </c>
    </row>
    <row r="135" spans="1:3" x14ac:dyDescent="0.3">
      <c r="A135" s="6" t="s">
        <v>134</v>
      </c>
      <c r="B135" s="10">
        <v>4.8977000000000004</v>
      </c>
      <c r="C135" s="7">
        <f t="shared" si="1"/>
        <v>0.82343495893118213</v>
      </c>
    </row>
    <row r="136" spans="1:3" x14ac:dyDescent="0.3">
      <c r="A136" s="6" t="s">
        <v>135</v>
      </c>
      <c r="B136" s="10">
        <v>4.8799000000000001</v>
      </c>
      <c r="C136" s="7">
        <f t="shared" si="1"/>
        <v>-0.3634358984829667</v>
      </c>
    </row>
    <row r="137" spans="1:3" x14ac:dyDescent="0.3">
      <c r="A137" s="6" t="s">
        <v>136</v>
      </c>
      <c r="B137" s="10">
        <v>4.8734999999999999</v>
      </c>
      <c r="C137" s="7">
        <f t="shared" ref="C137:C200" si="2">(B137-B136)/B136*100</f>
        <v>-0.13115022848829244</v>
      </c>
    </row>
    <row r="138" spans="1:3" x14ac:dyDescent="0.3">
      <c r="A138" s="6" t="s">
        <v>137</v>
      </c>
      <c r="B138" s="10">
        <v>4.8948999999999998</v>
      </c>
      <c r="C138" s="7">
        <f t="shared" si="2"/>
        <v>0.43910946958038094</v>
      </c>
    </row>
    <row r="139" spans="1:3" x14ac:dyDescent="0.3">
      <c r="A139" s="6" t="s">
        <v>138</v>
      </c>
      <c r="B139" s="10">
        <v>4.8057999999999996</v>
      </c>
      <c r="C139" s="7">
        <f t="shared" si="2"/>
        <v>-1.8202619052483233</v>
      </c>
    </row>
    <row r="140" spans="1:3" x14ac:dyDescent="0.3">
      <c r="A140" s="6" t="s">
        <v>139</v>
      </c>
      <c r="B140" s="10">
        <v>4.8037999999999998</v>
      </c>
      <c r="C140" s="7">
        <f t="shared" si="2"/>
        <v>-4.1616380207244993E-2</v>
      </c>
    </row>
    <row r="141" spans="1:3" x14ac:dyDescent="0.3">
      <c r="A141" s="6" t="s">
        <v>140</v>
      </c>
      <c r="B141" s="10">
        <v>4.7957000000000001</v>
      </c>
      <c r="C141" s="7">
        <f t="shared" si="2"/>
        <v>-0.16861651192805227</v>
      </c>
    </row>
    <row r="142" spans="1:3" x14ac:dyDescent="0.3">
      <c r="A142" s="6" t="s">
        <v>141</v>
      </c>
      <c r="B142" s="10">
        <v>4.8301999999999996</v>
      </c>
      <c r="C142" s="7">
        <f t="shared" si="2"/>
        <v>0.71939445753486519</v>
      </c>
    </row>
    <row r="143" spans="1:3" x14ac:dyDescent="0.3">
      <c r="A143" s="6" t="s">
        <v>142</v>
      </c>
      <c r="B143" s="10">
        <v>4.8040000000000003</v>
      </c>
      <c r="C143" s="7">
        <f t="shared" si="2"/>
        <v>-0.54242060370169631</v>
      </c>
    </row>
    <row r="144" spans="1:3" x14ac:dyDescent="0.3">
      <c r="A144" s="6" t="s">
        <v>143</v>
      </c>
      <c r="B144" s="10">
        <v>4.8</v>
      </c>
      <c r="C144" s="7">
        <f t="shared" si="2"/>
        <v>-8.326394671108342E-2</v>
      </c>
    </row>
    <row r="145" spans="1:3" x14ac:dyDescent="0.3">
      <c r="A145" s="6" t="s">
        <v>144</v>
      </c>
      <c r="B145" s="10">
        <v>4.7888000000000002</v>
      </c>
      <c r="C145" s="7">
        <f t="shared" si="2"/>
        <v>-0.23333333333332615</v>
      </c>
    </row>
    <row r="146" spans="1:3" x14ac:dyDescent="0.3">
      <c r="A146" s="6" t="s">
        <v>145</v>
      </c>
      <c r="B146" s="10">
        <v>4.7732000000000001</v>
      </c>
      <c r="C146" s="7">
        <f t="shared" si="2"/>
        <v>-0.32576010691613888</v>
      </c>
    </row>
    <row r="147" spans="1:3" x14ac:dyDescent="0.3">
      <c r="A147" s="6" t="s">
        <v>146</v>
      </c>
      <c r="B147" s="10">
        <v>4.7457000000000003</v>
      </c>
      <c r="C147" s="7">
        <f t="shared" si="2"/>
        <v>-0.57613341154780562</v>
      </c>
    </row>
    <row r="148" spans="1:3" x14ac:dyDescent="0.3">
      <c r="A148" s="6" t="s">
        <v>147</v>
      </c>
      <c r="B148" s="10">
        <v>4.7496</v>
      </c>
      <c r="C148" s="7">
        <f t="shared" si="2"/>
        <v>8.2179657374039497E-2</v>
      </c>
    </row>
    <row r="149" spans="1:3" x14ac:dyDescent="0.3">
      <c r="A149" s="6" t="s">
        <v>148</v>
      </c>
      <c r="B149" s="10">
        <v>4.7367999999999997</v>
      </c>
      <c r="C149" s="7">
        <f t="shared" si="2"/>
        <v>-0.26949637864241971</v>
      </c>
    </row>
    <row r="150" spans="1:3" x14ac:dyDescent="0.3">
      <c r="A150" s="6" t="s">
        <v>149</v>
      </c>
      <c r="B150" s="10">
        <v>4.7202000000000002</v>
      </c>
      <c r="C150" s="7">
        <f t="shared" si="2"/>
        <v>-0.35044755953385204</v>
      </c>
    </row>
    <row r="151" spans="1:3" x14ac:dyDescent="0.3">
      <c r="A151" s="6" t="s">
        <v>150</v>
      </c>
      <c r="B151" s="10">
        <v>4.7252999999999998</v>
      </c>
      <c r="C151" s="7">
        <f t="shared" si="2"/>
        <v>0.10804626922587306</v>
      </c>
    </row>
    <row r="152" spans="1:3" x14ac:dyDescent="0.3">
      <c r="A152" s="6" t="s">
        <v>151</v>
      </c>
      <c r="B152" s="10">
        <v>4.7415000000000003</v>
      </c>
      <c r="C152" s="7">
        <f t="shared" si="2"/>
        <v>0.34283537553172155</v>
      </c>
    </row>
    <row r="153" spans="1:3" x14ac:dyDescent="0.3">
      <c r="A153" s="6" t="s">
        <v>152</v>
      </c>
      <c r="B153" s="10">
        <v>4.7751999999999999</v>
      </c>
      <c r="C153" s="7">
        <f t="shared" si="2"/>
        <v>0.71074554465885509</v>
      </c>
    </row>
    <row r="154" spans="1:3" x14ac:dyDescent="0.3">
      <c r="A154" s="6" t="s">
        <v>153</v>
      </c>
      <c r="B154" s="10">
        <v>4.8083</v>
      </c>
      <c r="C154" s="7">
        <f t="shared" si="2"/>
        <v>0.69316468420171151</v>
      </c>
    </row>
    <row r="155" spans="1:3" x14ac:dyDescent="0.3">
      <c r="A155" s="6" t="s">
        <v>154</v>
      </c>
      <c r="B155" s="10">
        <v>4.8796999999999997</v>
      </c>
      <c r="C155" s="7">
        <f t="shared" si="2"/>
        <v>1.4849323045566976</v>
      </c>
    </row>
    <row r="156" spans="1:3" x14ac:dyDescent="0.3">
      <c r="A156" s="6" t="s">
        <v>155</v>
      </c>
      <c r="B156" s="10">
        <v>4.8609</v>
      </c>
      <c r="C156" s="7">
        <f t="shared" si="2"/>
        <v>-0.38526958624505003</v>
      </c>
    </row>
    <row r="157" spans="1:3" x14ac:dyDescent="0.3">
      <c r="A157" s="6" t="s">
        <v>156</v>
      </c>
      <c r="B157" s="10">
        <v>4.9009999999999998</v>
      </c>
      <c r="C157" s="7">
        <f t="shared" si="2"/>
        <v>0.8249501121191507</v>
      </c>
    </row>
    <row r="158" spans="1:3" x14ac:dyDescent="0.3">
      <c r="A158" s="6" t="s">
        <v>157</v>
      </c>
      <c r="B158" s="10">
        <v>4.9217000000000004</v>
      </c>
      <c r="C158" s="7">
        <f t="shared" si="2"/>
        <v>0.42236278310550113</v>
      </c>
    </row>
    <row r="159" spans="1:3" x14ac:dyDescent="0.3">
      <c r="A159" s="6" t="s">
        <v>158</v>
      </c>
      <c r="B159" s="10">
        <v>4.9015000000000004</v>
      </c>
      <c r="C159" s="7">
        <f t="shared" si="2"/>
        <v>-0.41042729138305856</v>
      </c>
    </row>
    <row r="160" spans="1:3" x14ac:dyDescent="0.3">
      <c r="A160" s="6" t="s">
        <v>159</v>
      </c>
      <c r="B160" s="10">
        <v>4.8517999999999999</v>
      </c>
      <c r="C160" s="7">
        <f t="shared" si="2"/>
        <v>-1.0139753136794964</v>
      </c>
    </row>
    <row r="161" spans="1:3" x14ac:dyDescent="0.3">
      <c r="A161" s="6" t="s">
        <v>160</v>
      </c>
      <c r="B161" s="10">
        <v>4.8917999999999999</v>
      </c>
      <c r="C161" s="7">
        <f t="shared" si="2"/>
        <v>0.82443629168556065</v>
      </c>
    </row>
    <row r="162" spans="1:3" x14ac:dyDescent="0.3">
      <c r="A162" s="6" t="s">
        <v>161</v>
      </c>
      <c r="B162" s="10">
        <v>4.9481000000000002</v>
      </c>
      <c r="C162" s="7">
        <f t="shared" si="2"/>
        <v>1.1509055971217188</v>
      </c>
    </row>
    <row r="163" spans="1:3" x14ac:dyDescent="0.3">
      <c r="A163" s="6" t="s">
        <v>162</v>
      </c>
      <c r="B163" s="10">
        <v>4.9812000000000003</v>
      </c>
      <c r="C163" s="7">
        <f t="shared" si="2"/>
        <v>0.66894363493058207</v>
      </c>
    </row>
    <row r="164" spans="1:3" x14ac:dyDescent="0.3">
      <c r="A164" s="6" t="s">
        <v>163</v>
      </c>
      <c r="B164" s="10">
        <v>4.9771999999999998</v>
      </c>
      <c r="C164" s="7">
        <f t="shared" si="2"/>
        <v>-8.0301935276649139E-2</v>
      </c>
    </row>
    <row r="165" spans="1:3" x14ac:dyDescent="0.3">
      <c r="A165" s="6" t="s">
        <v>164</v>
      </c>
      <c r="B165" s="10">
        <v>4.9816000000000003</v>
      </c>
      <c r="C165" s="7">
        <f t="shared" si="2"/>
        <v>8.8403118219087112E-2</v>
      </c>
    </row>
    <row r="166" spans="1:3" x14ac:dyDescent="0.3">
      <c r="A166" s="6" t="s">
        <v>165</v>
      </c>
      <c r="B166" s="10">
        <v>4.9724000000000004</v>
      </c>
      <c r="C166" s="7">
        <f t="shared" si="2"/>
        <v>-0.18467962100529697</v>
      </c>
    </row>
    <row r="167" spans="1:3" x14ac:dyDescent="0.3">
      <c r="A167" s="6" t="s">
        <v>166</v>
      </c>
      <c r="B167" s="10">
        <v>4.9847000000000001</v>
      </c>
      <c r="C167" s="7">
        <f t="shared" si="2"/>
        <v>0.24736545732442594</v>
      </c>
    </row>
    <row r="168" spans="1:3" x14ac:dyDescent="0.3">
      <c r="A168" s="6" t="s">
        <v>167</v>
      </c>
      <c r="B168" s="10">
        <v>4.9431000000000003</v>
      </c>
      <c r="C168" s="7">
        <f t="shared" si="2"/>
        <v>-0.83455373442734482</v>
      </c>
    </row>
    <row r="169" spans="1:3" x14ac:dyDescent="0.3">
      <c r="A169" s="6" t="s">
        <v>168</v>
      </c>
      <c r="B169" s="10">
        <v>4.8977000000000004</v>
      </c>
      <c r="C169" s="7">
        <f t="shared" si="2"/>
        <v>-0.91845198357305913</v>
      </c>
    </row>
    <row r="170" spans="1:3" x14ac:dyDescent="0.3">
      <c r="A170" s="6" t="s">
        <v>169</v>
      </c>
      <c r="B170" s="10">
        <v>4.8747999999999996</v>
      </c>
      <c r="C170" s="7">
        <f t="shared" si="2"/>
        <v>-0.46756640872247807</v>
      </c>
    </row>
    <row r="171" spans="1:3" x14ac:dyDescent="0.3">
      <c r="A171" s="6" t="s">
        <v>170</v>
      </c>
      <c r="B171" s="10">
        <v>4.8772000000000002</v>
      </c>
      <c r="C171" s="7">
        <f t="shared" si="2"/>
        <v>4.9232789037511777E-2</v>
      </c>
    </row>
    <row r="172" spans="1:3" x14ac:dyDescent="0.3">
      <c r="A172" s="6" t="s">
        <v>171</v>
      </c>
      <c r="B172" s="10">
        <v>4.8937999999999997</v>
      </c>
      <c r="C172" s="7">
        <f t="shared" si="2"/>
        <v>0.34035922250470563</v>
      </c>
    </row>
    <row r="173" spans="1:3" x14ac:dyDescent="0.3">
      <c r="A173" s="6" t="s">
        <v>172</v>
      </c>
      <c r="B173" s="10">
        <v>4.8705999999999996</v>
      </c>
      <c r="C173" s="7">
        <f t="shared" si="2"/>
        <v>-0.47406923045486349</v>
      </c>
    </row>
    <row r="174" spans="1:3" x14ac:dyDescent="0.3">
      <c r="A174" s="6" t="s">
        <v>173</v>
      </c>
      <c r="B174" s="10">
        <v>4.8653000000000004</v>
      </c>
      <c r="C174" s="7">
        <f t="shared" si="2"/>
        <v>-0.10881616227978472</v>
      </c>
    </row>
    <row r="175" spans="1:3" x14ac:dyDescent="0.3">
      <c r="A175" s="6" t="s">
        <v>174</v>
      </c>
      <c r="B175" s="10">
        <v>4.9218999999999999</v>
      </c>
      <c r="C175" s="7">
        <f t="shared" si="2"/>
        <v>1.1633403901095418</v>
      </c>
    </row>
    <row r="176" spans="1:3" x14ac:dyDescent="0.3">
      <c r="A176" s="6" t="s">
        <v>175</v>
      </c>
      <c r="B176" s="10">
        <v>4.9318</v>
      </c>
      <c r="C176" s="7">
        <f t="shared" si="2"/>
        <v>0.20114183547004244</v>
      </c>
    </row>
    <row r="177" spans="1:3" x14ac:dyDescent="0.3">
      <c r="A177" s="6" t="s">
        <v>176</v>
      </c>
      <c r="B177" s="10">
        <v>4.9176000000000002</v>
      </c>
      <c r="C177" s="7">
        <f t="shared" si="2"/>
        <v>-0.28792732876434096</v>
      </c>
    </row>
    <row r="178" spans="1:3" x14ac:dyDescent="0.3">
      <c r="A178" s="6" t="s">
        <v>177</v>
      </c>
      <c r="B178" s="10">
        <v>4.9705000000000004</v>
      </c>
      <c r="C178" s="7">
        <f t="shared" si="2"/>
        <v>1.0757279973971077</v>
      </c>
    </row>
    <row r="179" spans="1:3" x14ac:dyDescent="0.3">
      <c r="A179" s="6" t="s">
        <v>178</v>
      </c>
      <c r="B179" s="10">
        <v>4.9762000000000004</v>
      </c>
      <c r="C179" s="7">
        <f t="shared" si="2"/>
        <v>0.11467659189216453</v>
      </c>
    </row>
    <row r="180" spans="1:3" x14ac:dyDescent="0.3">
      <c r="A180" s="6" t="s">
        <v>179</v>
      </c>
      <c r="B180" s="10">
        <v>4.9835000000000003</v>
      </c>
      <c r="C180" s="7">
        <f t="shared" si="2"/>
        <v>0.14669828383103295</v>
      </c>
    </row>
    <row r="181" spans="1:3" x14ac:dyDescent="0.3">
      <c r="A181" s="6" t="s">
        <v>180</v>
      </c>
      <c r="B181" s="10">
        <v>4.9366000000000003</v>
      </c>
      <c r="C181" s="7">
        <f t="shared" si="2"/>
        <v>-0.94110564864051249</v>
      </c>
    </row>
    <row r="182" spans="1:3" x14ac:dyDescent="0.3">
      <c r="A182" s="6" t="s">
        <v>181</v>
      </c>
      <c r="B182" s="10">
        <v>4.9504999999999999</v>
      </c>
      <c r="C182" s="7">
        <f t="shared" si="2"/>
        <v>0.28157031155045126</v>
      </c>
    </row>
    <row r="183" spans="1:3" x14ac:dyDescent="0.3">
      <c r="A183" s="6" t="s">
        <v>182</v>
      </c>
      <c r="B183" s="10">
        <v>4.9170999999999996</v>
      </c>
      <c r="C183" s="7">
        <f t="shared" si="2"/>
        <v>-0.6746793253206812</v>
      </c>
    </row>
    <row r="184" spans="1:3" x14ac:dyDescent="0.3">
      <c r="A184" s="6" t="s">
        <v>183</v>
      </c>
      <c r="B184" s="10">
        <v>4.8750999999999998</v>
      </c>
      <c r="C184" s="7">
        <f t="shared" si="2"/>
        <v>-0.85416200606047921</v>
      </c>
    </row>
    <row r="185" spans="1:3" x14ac:dyDescent="0.3">
      <c r="A185" s="6" t="s">
        <v>184</v>
      </c>
      <c r="B185" s="10">
        <v>4.8689</v>
      </c>
      <c r="C185" s="7">
        <f t="shared" si="2"/>
        <v>-0.12717687842300182</v>
      </c>
    </row>
    <row r="186" spans="1:3" x14ac:dyDescent="0.3">
      <c r="A186" s="6" t="s">
        <v>185</v>
      </c>
      <c r="B186" s="10">
        <v>4.8535000000000004</v>
      </c>
      <c r="C186" s="7">
        <f t="shared" si="2"/>
        <v>-0.31629320791143045</v>
      </c>
    </row>
    <row r="187" spans="1:3" x14ac:dyDescent="0.3">
      <c r="A187" s="6" t="s">
        <v>186</v>
      </c>
      <c r="B187" s="10">
        <v>4.8574999999999999</v>
      </c>
      <c r="C187" s="7">
        <f t="shared" si="2"/>
        <v>8.2414752240641986E-2</v>
      </c>
    </row>
    <row r="188" spans="1:3" x14ac:dyDescent="0.3">
      <c r="A188" s="6" t="s">
        <v>187</v>
      </c>
      <c r="B188" s="10">
        <v>4.8487</v>
      </c>
      <c r="C188" s="7">
        <f t="shared" si="2"/>
        <v>-0.1811631497683977</v>
      </c>
    </row>
    <row r="189" spans="1:3" x14ac:dyDescent="0.3">
      <c r="A189" s="6" t="s">
        <v>188</v>
      </c>
      <c r="B189" s="10">
        <v>4.9229000000000003</v>
      </c>
      <c r="C189" s="7">
        <f t="shared" si="2"/>
        <v>1.5303070926227704</v>
      </c>
    </row>
    <row r="190" spans="1:3" x14ac:dyDescent="0.3">
      <c r="A190" s="6" t="s">
        <v>189</v>
      </c>
      <c r="B190" s="10">
        <v>4.9131</v>
      </c>
      <c r="C190" s="7">
        <f t="shared" si="2"/>
        <v>-0.1990696540656981</v>
      </c>
    </row>
    <row r="191" spans="1:3" x14ac:dyDescent="0.3">
      <c r="A191" s="6" t="s">
        <v>190</v>
      </c>
      <c r="B191" s="10">
        <v>4.9606000000000003</v>
      </c>
      <c r="C191" s="7">
        <f t="shared" si="2"/>
        <v>0.96680303677922941</v>
      </c>
    </row>
    <row r="192" spans="1:3" x14ac:dyDescent="0.3">
      <c r="A192" s="6" t="s">
        <v>191</v>
      </c>
      <c r="B192" s="10">
        <v>4.9717000000000002</v>
      </c>
      <c r="C192" s="7">
        <f t="shared" si="2"/>
        <v>0.22376325444502451</v>
      </c>
    </row>
    <row r="193" spans="1:3" x14ac:dyDescent="0.3">
      <c r="A193" s="6" t="s">
        <v>192</v>
      </c>
      <c r="B193" s="10">
        <v>5.0289000000000001</v>
      </c>
      <c r="C193" s="7">
        <f t="shared" si="2"/>
        <v>1.1505118973389368</v>
      </c>
    </row>
    <row r="194" spans="1:3" x14ac:dyDescent="0.3">
      <c r="A194" s="6" t="s">
        <v>193</v>
      </c>
      <c r="B194" s="10">
        <v>5.0475000000000003</v>
      </c>
      <c r="C194" s="7">
        <f t="shared" si="2"/>
        <v>0.3698621965042091</v>
      </c>
    </row>
    <row r="195" spans="1:3" x14ac:dyDescent="0.3">
      <c r="A195" s="6" t="s">
        <v>194</v>
      </c>
      <c r="B195" s="10">
        <v>5.0076000000000001</v>
      </c>
      <c r="C195" s="7">
        <f t="shared" si="2"/>
        <v>-0.79049034175334842</v>
      </c>
    </row>
    <row r="196" spans="1:3" x14ac:dyDescent="0.3">
      <c r="A196" s="6" t="s">
        <v>195</v>
      </c>
      <c r="B196" s="10">
        <v>5.0678999999999998</v>
      </c>
      <c r="C196" s="7">
        <f t="shared" si="2"/>
        <v>1.2041696621135833</v>
      </c>
    </row>
    <row r="197" spans="1:3" x14ac:dyDescent="0.3">
      <c r="A197" s="6" t="s">
        <v>196</v>
      </c>
      <c r="B197" s="10">
        <v>5.1100000000000003</v>
      </c>
      <c r="C197" s="7">
        <f t="shared" si="2"/>
        <v>0.83071883817755821</v>
      </c>
    </row>
    <row r="198" spans="1:3" x14ac:dyDescent="0.3">
      <c r="A198" s="6" t="s">
        <v>197</v>
      </c>
      <c r="B198" s="10">
        <v>5.1525999999999996</v>
      </c>
      <c r="C198" s="7">
        <f t="shared" si="2"/>
        <v>0.83365949119372418</v>
      </c>
    </row>
    <row r="199" spans="1:3" x14ac:dyDescent="0.3">
      <c r="A199" s="6" t="s">
        <v>198</v>
      </c>
      <c r="B199" s="10">
        <v>5.1712999999999996</v>
      </c>
      <c r="C199" s="7">
        <f t="shared" si="2"/>
        <v>0.36292357256530572</v>
      </c>
    </row>
    <row r="200" spans="1:3" x14ac:dyDescent="0.3">
      <c r="A200" s="6" t="s">
        <v>199</v>
      </c>
      <c r="B200" s="10">
        <v>5.1917999999999997</v>
      </c>
      <c r="C200" s="7">
        <f t="shared" si="2"/>
        <v>0.39641869549243297</v>
      </c>
    </row>
    <row r="201" spans="1:3" x14ac:dyDescent="0.3">
      <c r="A201" s="6" t="s">
        <v>200</v>
      </c>
      <c r="B201" s="10">
        <v>5.1665999999999999</v>
      </c>
      <c r="C201" s="7">
        <f t="shared" ref="C201:C264" si="3">(B201-B200)/B200*100</f>
        <v>-0.48538079278862606</v>
      </c>
    </row>
    <row r="202" spans="1:3" x14ac:dyDescent="0.3">
      <c r="A202" s="6" t="s">
        <v>201</v>
      </c>
      <c r="B202" s="10">
        <v>5.0861999999999998</v>
      </c>
      <c r="C202" s="7">
        <f t="shared" si="3"/>
        <v>-1.5561491116014408</v>
      </c>
    </row>
    <row r="203" spans="1:3" x14ac:dyDescent="0.3">
      <c r="A203" s="6" t="s">
        <v>202</v>
      </c>
      <c r="B203" s="10">
        <v>5.0495999999999999</v>
      </c>
      <c r="C203" s="7">
        <f t="shared" si="3"/>
        <v>-0.71959419605992625</v>
      </c>
    </row>
    <row r="204" spans="1:3" x14ac:dyDescent="0.3">
      <c r="A204" s="6" t="s">
        <v>203</v>
      </c>
      <c r="B204" s="10">
        <v>5.0625</v>
      </c>
      <c r="C204" s="7">
        <f t="shared" si="3"/>
        <v>0.25546577946768328</v>
      </c>
    </row>
    <row r="205" spans="1:3" x14ac:dyDescent="0.3">
      <c r="A205" s="6" t="s">
        <v>204</v>
      </c>
      <c r="B205" s="10">
        <v>5.0617999999999999</v>
      </c>
      <c r="C205" s="7">
        <f t="shared" si="3"/>
        <v>-1.3827160493830025E-2</v>
      </c>
    </row>
    <row r="206" spans="1:3" x14ac:dyDescent="0.3">
      <c r="A206" s="6" t="s">
        <v>205</v>
      </c>
      <c r="B206" s="10">
        <v>5.0384000000000002</v>
      </c>
      <c r="C206" s="7">
        <f t="shared" si="3"/>
        <v>-0.46228614326918577</v>
      </c>
    </row>
    <row r="207" spans="1:3" x14ac:dyDescent="0.3">
      <c r="A207" s="6" t="s">
        <v>206</v>
      </c>
      <c r="B207" s="10">
        <v>5.0568</v>
      </c>
      <c r="C207" s="7">
        <f t="shared" si="3"/>
        <v>0.36519530009526335</v>
      </c>
    </row>
    <row r="208" spans="1:3" x14ac:dyDescent="0.3">
      <c r="A208" s="6" t="s">
        <v>207</v>
      </c>
      <c r="B208" s="10">
        <v>5.0540000000000003</v>
      </c>
      <c r="C208" s="7">
        <f t="shared" si="3"/>
        <v>-5.5370985603537648E-2</v>
      </c>
    </row>
    <row r="209" spans="1:3" x14ac:dyDescent="0.3">
      <c r="A209" s="6" t="s">
        <v>208</v>
      </c>
      <c r="B209" s="10">
        <v>5.0528000000000004</v>
      </c>
      <c r="C209" s="7">
        <f t="shared" si="3"/>
        <v>-2.3743569449938023E-2</v>
      </c>
    </row>
    <row r="210" spans="1:3" x14ac:dyDescent="0.3">
      <c r="A210" s="6" t="s">
        <v>209</v>
      </c>
      <c r="B210" s="10">
        <v>5.0164</v>
      </c>
      <c r="C210" s="7">
        <f t="shared" si="3"/>
        <v>-0.72039265357822257</v>
      </c>
    </row>
    <row r="211" spans="1:3" x14ac:dyDescent="0.3">
      <c r="A211" s="6" t="s">
        <v>210</v>
      </c>
      <c r="B211" s="10">
        <v>5.0065</v>
      </c>
      <c r="C211" s="7">
        <f t="shared" si="3"/>
        <v>-0.19735268319910734</v>
      </c>
    </row>
    <row r="212" spans="1:3" x14ac:dyDescent="0.3">
      <c r="A212" s="6" t="s">
        <v>211</v>
      </c>
      <c r="B212" s="10">
        <v>4.9981</v>
      </c>
      <c r="C212" s="7">
        <f t="shared" si="3"/>
        <v>-0.16778188355138246</v>
      </c>
    </row>
    <row r="213" spans="1:3" x14ac:dyDescent="0.3">
      <c r="A213" s="6" t="s">
        <v>212</v>
      </c>
      <c r="B213" s="10">
        <v>5.0054999999999996</v>
      </c>
      <c r="C213" s="7">
        <f t="shared" si="3"/>
        <v>0.14805626137931674</v>
      </c>
    </row>
    <row r="214" spans="1:3" x14ac:dyDescent="0.3">
      <c r="A214" s="6" t="s">
        <v>213</v>
      </c>
      <c r="B214" s="10">
        <v>4.9480000000000004</v>
      </c>
      <c r="C214" s="7">
        <f t="shared" si="3"/>
        <v>-1.1487363899710163</v>
      </c>
    </row>
    <row r="215" spans="1:3" x14ac:dyDescent="0.3">
      <c r="A215" s="6" t="s">
        <v>214</v>
      </c>
      <c r="B215" s="10">
        <v>5.0073999999999996</v>
      </c>
      <c r="C215" s="7">
        <f t="shared" si="3"/>
        <v>1.2004850444623933</v>
      </c>
    </row>
    <row r="216" spans="1:3" x14ac:dyDescent="0.3">
      <c r="A216" s="6" t="s">
        <v>215</v>
      </c>
      <c r="B216" s="10">
        <v>5.0575000000000001</v>
      </c>
      <c r="C216" s="7">
        <f t="shared" si="3"/>
        <v>1.0005192315373344</v>
      </c>
    </row>
    <row r="217" spans="1:3" x14ac:dyDescent="0.3">
      <c r="A217" s="6" t="s">
        <v>216</v>
      </c>
      <c r="B217" s="10">
        <v>5.0194000000000001</v>
      </c>
      <c r="C217" s="7">
        <f t="shared" si="3"/>
        <v>-0.75333662876915519</v>
      </c>
    </row>
    <row r="218" spans="1:3" x14ac:dyDescent="0.3">
      <c r="A218" s="6" t="s">
        <v>217</v>
      </c>
      <c r="B218" s="10">
        <v>4.891</v>
      </c>
      <c r="C218" s="7">
        <f t="shared" si="3"/>
        <v>-2.5580746702793178</v>
      </c>
    </row>
    <row r="219" spans="1:3" x14ac:dyDescent="0.3">
      <c r="A219" s="6" t="s">
        <v>218</v>
      </c>
      <c r="B219" s="10">
        <v>4.8998999999999997</v>
      </c>
      <c r="C219" s="7">
        <f t="shared" si="3"/>
        <v>0.18196687793906532</v>
      </c>
    </row>
    <row r="220" spans="1:3" x14ac:dyDescent="0.3">
      <c r="A220" s="6" t="s">
        <v>219</v>
      </c>
      <c r="B220" s="10">
        <v>4.867</v>
      </c>
      <c r="C220" s="7">
        <f t="shared" si="3"/>
        <v>-0.67144227433212333</v>
      </c>
    </row>
    <row r="221" spans="1:3" x14ac:dyDescent="0.3">
      <c r="A221" s="6" t="s">
        <v>220</v>
      </c>
      <c r="B221" s="10">
        <v>4.8855000000000004</v>
      </c>
      <c r="C221" s="7">
        <f t="shared" si="3"/>
        <v>0.38011095130471345</v>
      </c>
    </row>
    <row r="222" spans="1:3" x14ac:dyDescent="0.3">
      <c r="A222" s="6" t="s">
        <v>221</v>
      </c>
      <c r="B222" s="10">
        <v>4.9006999999999996</v>
      </c>
      <c r="C222" s="7">
        <f t="shared" si="3"/>
        <v>0.31112475693376751</v>
      </c>
    </row>
    <row r="223" spans="1:3" x14ac:dyDescent="0.3">
      <c r="A223" s="6" t="s">
        <v>222</v>
      </c>
      <c r="B223" s="10">
        <v>4.9218999999999999</v>
      </c>
      <c r="C223" s="7">
        <f t="shared" si="3"/>
        <v>0.43259126247271473</v>
      </c>
    </row>
    <row r="224" spans="1:3" x14ac:dyDescent="0.3">
      <c r="A224" s="6" t="s">
        <v>223</v>
      </c>
      <c r="B224" s="10">
        <v>4.9246999999999996</v>
      </c>
      <c r="C224" s="7">
        <f t="shared" si="3"/>
        <v>5.6888599930914725E-2</v>
      </c>
    </row>
    <row r="225" spans="1:3" x14ac:dyDescent="0.3">
      <c r="A225" s="6" t="s">
        <v>224</v>
      </c>
      <c r="B225" s="10">
        <v>4.8681999999999999</v>
      </c>
      <c r="C225" s="7">
        <f t="shared" si="3"/>
        <v>-1.1472780067821344</v>
      </c>
    </row>
    <row r="226" spans="1:3" x14ac:dyDescent="0.3">
      <c r="A226" s="6" t="s">
        <v>225</v>
      </c>
      <c r="B226" s="10">
        <v>4.8574999999999999</v>
      </c>
      <c r="C226" s="7">
        <f t="shared" si="3"/>
        <v>-0.21979376360872463</v>
      </c>
    </row>
    <row r="227" spans="1:3" x14ac:dyDescent="0.3">
      <c r="A227" s="6" t="s">
        <v>226</v>
      </c>
      <c r="B227" s="10">
        <v>4.8849</v>
      </c>
      <c r="C227" s="7">
        <f t="shared" si="3"/>
        <v>0.56407617086979089</v>
      </c>
    </row>
    <row r="228" spans="1:3" x14ac:dyDescent="0.3">
      <c r="A228" s="6" t="s">
        <v>227</v>
      </c>
      <c r="B228" s="10">
        <v>4.8723000000000001</v>
      </c>
      <c r="C228" s="7">
        <f t="shared" si="3"/>
        <v>-0.2579377264631813</v>
      </c>
    </row>
    <row r="229" spans="1:3" x14ac:dyDescent="0.3">
      <c r="A229" s="6" t="s">
        <v>228</v>
      </c>
      <c r="B229" s="10">
        <v>4.8806000000000003</v>
      </c>
      <c r="C229" s="7">
        <f t="shared" si="3"/>
        <v>0.17035075836874158</v>
      </c>
    </row>
    <row r="230" spans="1:3" x14ac:dyDescent="0.3">
      <c r="A230" s="6" t="s">
        <v>229</v>
      </c>
      <c r="B230" s="10">
        <v>4.8967999999999998</v>
      </c>
      <c r="C230" s="7">
        <f t="shared" si="3"/>
        <v>0.33192640249148769</v>
      </c>
    </row>
    <row r="231" spans="1:3" x14ac:dyDescent="0.3">
      <c r="A231" s="6" t="s">
        <v>230</v>
      </c>
      <c r="B231" s="10">
        <v>4.8930999999999996</v>
      </c>
      <c r="C231" s="7">
        <f t="shared" si="3"/>
        <v>-7.5559549093290698E-2</v>
      </c>
    </row>
    <row r="232" spans="1:3" x14ac:dyDescent="0.3">
      <c r="A232" s="6" t="s">
        <v>231</v>
      </c>
      <c r="B232" s="10">
        <v>4.8926999999999996</v>
      </c>
      <c r="C232" s="7">
        <f t="shared" si="3"/>
        <v>-8.1747767264097604E-3</v>
      </c>
    </row>
    <row r="233" spans="1:3" x14ac:dyDescent="0.3">
      <c r="A233" s="6" t="s">
        <v>232</v>
      </c>
      <c r="B233" s="10">
        <v>4.8951000000000002</v>
      </c>
      <c r="C233" s="7">
        <f t="shared" si="3"/>
        <v>4.9052670304752473E-2</v>
      </c>
    </row>
    <row r="234" spans="1:3" x14ac:dyDescent="0.3">
      <c r="A234" s="6" t="s">
        <v>233</v>
      </c>
      <c r="B234" s="10">
        <v>4.8867000000000003</v>
      </c>
      <c r="C234" s="7">
        <f t="shared" si="3"/>
        <v>-0.17160017160017085</v>
      </c>
    </row>
    <row r="235" spans="1:3" x14ac:dyDescent="0.3">
      <c r="A235" s="6" t="s">
        <v>234</v>
      </c>
      <c r="B235" s="10">
        <v>4.8933</v>
      </c>
      <c r="C235" s="7">
        <f t="shared" si="3"/>
        <v>0.13506047025599519</v>
      </c>
    </row>
    <row r="236" spans="1:3" x14ac:dyDescent="0.3">
      <c r="A236" s="6" t="s">
        <v>235</v>
      </c>
      <c r="B236" s="10">
        <v>4.9355000000000002</v>
      </c>
      <c r="C236" s="7">
        <f t="shared" si="3"/>
        <v>0.86240369484806234</v>
      </c>
    </row>
    <row r="237" spans="1:3" x14ac:dyDescent="0.3">
      <c r="A237" s="6" t="s">
        <v>236</v>
      </c>
      <c r="B237" s="10">
        <v>4.9191000000000003</v>
      </c>
      <c r="C237" s="7">
        <f t="shared" si="3"/>
        <v>-0.33228649579576475</v>
      </c>
    </row>
    <row r="238" spans="1:3" x14ac:dyDescent="0.3">
      <c r="A238" s="6" t="s">
        <v>237</v>
      </c>
      <c r="B238" s="10">
        <v>4.9090999999999996</v>
      </c>
      <c r="C238" s="7">
        <f t="shared" si="3"/>
        <v>-0.20328921957269977</v>
      </c>
    </row>
    <row r="239" spans="1:3" x14ac:dyDescent="0.3">
      <c r="A239" s="6" t="s">
        <v>238</v>
      </c>
      <c r="B239" s="10">
        <v>4.9522000000000004</v>
      </c>
      <c r="C239" s="7">
        <f t="shared" si="3"/>
        <v>0.87796133710865143</v>
      </c>
    </row>
    <row r="240" spans="1:3" x14ac:dyDescent="0.3">
      <c r="A240" s="6" t="s">
        <v>239</v>
      </c>
      <c r="B240" s="10">
        <v>4.9031000000000002</v>
      </c>
      <c r="C240" s="7">
        <f t="shared" si="3"/>
        <v>-0.99147853479262027</v>
      </c>
    </row>
    <row r="241" spans="1:3" x14ac:dyDescent="0.3">
      <c r="A241" s="6" t="s">
        <v>240</v>
      </c>
      <c r="B241" s="10">
        <v>4.8948999999999998</v>
      </c>
      <c r="C241" s="7">
        <f t="shared" si="3"/>
        <v>-0.16724113316066222</v>
      </c>
    </row>
    <row r="242" spans="1:3" x14ac:dyDescent="0.3">
      <c r="A242" s="6" t="s">
        <v>241</v>
      </c>
      <c r="B242" s="10">
        <v>4.9157999999999999</v>
      </c>
      <c r="C242" s="7">
        <f t="shared" si="3"/>
        <v>0.42697501481133715</v>
      </c>
    </row>
    <row r="243" spans="1:3" x14ac:dyDescent="0.3">
      <c r="A243" s="6" t="s">
        <v>242</v>
      </c>
      <c r="B243" s="10">
        <v>4.944</v>
      </c>
      <c r="C243" s="7">
        <f t="shared" si="3"/>
        <v>0.57366044184059573</v>
      </c>
    </row>
    <row r="244" spans="1:3" x14ac:dyDescent="0.3">
      <c r="A244" s="6" t="s">
        <v>243</v>
      </c>
      <c r="B244" s="10">
        <v>4.9476000000000004</v>
      </c>
      <c r="C244" s="7">
        <f t="shared" si="3"/>
        <v>7.281553398059247E-2</v>
      </c>
    </row>
    <row r="245" spans="1:3" x14ac:dyDescent="0.3">
      <c r="A245" s="6" t="s">
        <v>244</v>
      </c>
      <c r="B245" s="10">
        <v>4.9580000000000002</v>
      </c>
      <c r="C245" s="7">
        <f t="shared" si="3"/>
        <v>0.21020292667151227</v>
      </c>
    </row>
    <row r="246" spans="1:3" x14ac:dyDescent="0.3">
      <c r="A246" s="6" t="s">
        <v>245</v>
      </c>
      <c r="B246" s="10">
        <v>4.8912000000000004</v>
      </c>
      <c r="C246" s="7">
        <f t="shared" si="3"/>
        <v>-1.3473174667204466</v>
      </c>
    </row>
    <row r="247" spans="1:3" x14ac:dyDescent="0.3">
      <c r="A247" s="6" t="s">
        <v>246</v>
      </c>
      <c r="B247" s="10">
        <v>4.9397000000000002</v>
      </c>
      <c r="C247" s="7">
        <f t="shared" si="3"/>
        <v>0.99157670919201335</v>
      </c>
    </row>
    <row r="248" spans="1:3" x14ac:dyDescent="0.3">
      <c r="A248" s="6" t="s">
        <v>247</v>
      </c>
      <c r="B248" s="10">
        <v>4.9398999999999997</v>
      </c>
      <c r="C248" s="7">
        <f t="shared" si="3"/>
        <v>4.048828876238109E-3</v>
      </c>
    </row>
    <row r="249" spans="1:3" x14ac:dyDescent="0.3">
      <c r="A249" s="6" t="s">
        <v>248</v>
      </c>
      <c r="B249" s="10">
        <v>4.8662999999999998</v>
      </c>
      <c r="C249" s="7">
        <f t="shared" si="3"/>
        <v>-1.4899087026053137</v>
      </c>
    </row>
    <row r="250" spans="1:3" x14ac:dyDescent="0.3">
      <c r="A250" s="6" t="s">
        <v>249</v>
      </c>
      <c r="B250" s="10">
        <v>4.8765999999999998</v>
      </c>
      <c r="C250" s="7">
        <f t="shared" si="3"/>
        <v>0.21165978258635876</v>
      </c>
    </row>
    <row r="251" spans="1:3" x14ac:dyDescent="0.3">
      <c r="A251" s="6" t="s">
        <v>250</v>
      </c>
      <c r="B251" s="10">
        <v>4.8754999999999997</v>
      </c>
      <c r="C251" s="7">
        <f t="shared" si="3"/>
        <v>-2.2556699339705961E-2</v>
      </c>
    </row>
    <row r="252" spans="1:3" x14ac:dyDescent="0.3">
      <c r="A252" s="6" t="s">
        <v>251</v>
      </c>
      <c r="B252" s="10">
        <v>4.8619000000000003</v>
      </c>
      <c r="C252" s="7">
        <f t="shared" si="3"/>
        <v>-0.27894574915392045</v>
      </c>
    </row>
    <row r="253" spans="1:3" x14ac:dyDescent="0.3">
      <c r="A253" s="6" t="s">
        <v>252</v>
      </c>
      <c r="B253" s="10">
        <v>4.8368000000000002</v>
      </c>
      <c r="C253" s="7">
        <f t="shared" si="3"/>
        <v>-0.51625907567000806</v>
      </c>
    </row>
    <row r="254" spans="1:3" x14ac:dyDescent="0.3">
      <c r="A254" s="6" t="s">
        <v>253</v>
      </c>
      <c r="B254" s="10">
        <v>4.8305999999999996</v>
      </c>
      <c r="C254" s="7">
        <f t="shared" si="3"/>
        <v>-0.12818392325505806</v>
      </c>
    </row>
    <row r="255" spans="1:3" x14ac:dyDescent="0.3">
      <c r="A255" s="6" t="s">
        <v>254</v>
      </c>
      <c r="B255" s="10">
        <v>4.8413000000000004</v>
      </c>
      <c r="C255" s="7">
        <f t="shared" si="3"/>
        <v>0.22150457500105208</v>
      </c>
    </row>
    <row r="256" spans="1:3" x14ac:dyDescent="0.3">
      <c r="A256" s="6" t="s">
        <v>255</v>
      </c>
      <c r="B256" s="10">
        <v>4.8413000000000004</v>
      </c>
      <c r="C256" s="7">
        <f t="shared" si="3"/>
        <v>0</v>
      </c>
    </row>
    <row r="257" spans="1:3" x14ac:dyDescent="0.3">
      <c r="A257" s="6" t="s">
        <v>256</v>
      </c>
      <c r="B257" s="10">
        <v>4.8916000000000004</v>
      </c>
      <c r="C257" s="7">
        <f t="shared" si="3"/>
        <v>1.0389771342408034</v>
      </c>
    </row>
    <row r="258" spans="1:3" x14ac:dyDescent="0.3">
      <c r="A258" s="6" t="s">
        <v>257</v>
      </c>
      <c r="B258" s="10">
        <v>4.9211999999999998</v>
      </c>
      <c r="C258" s="7">
        <f t="shared" si="3"/>
        <v>0.60511897947500615</v>
      </c>
    </row>
    <row r="259" spans="1:3" x14ac:dyDescent="0.3">
      <c r="A259" s="6" t="s">
        <v>258</v>
      </c>
      <c r="B259" s="10">
        <v>4.9188000000000001</v>
      </c>
      <c r="C259" s="7">
        <f t="shared" si="3"/>
        <v>-4.8768593026085827E-2</v>
      </c>
    </row>
    <row r="260" spans="1:3" x14ac:dyDescent="0.3">
      <c r="A260" s="6" t="s">
        <v>259</v>
      </c>
      <c r="B260" s="10">
        <v>4.8898999999999999</v>
      </c>
      <c r="C260" s="7">
        <f t="shared" si="3"/>
        <v>-0.58754167683175051</v>
      </c>
    </row>
    <row r="261" spans="1:3" x14ac:dyDescent="0.3">
      <c r="A261" s="6" t="s">
        <v>260</v>
      </c>
      <c r="B261" s="10">
        <v>4.8849999999999998</v>
      </c>
      <c r="C261" s="7">
        <f t="shared" si="3"/>
        <v>-0.10020654819117214</v>
      </c>
    </row>
    <row r="262" spans="1:3" x14ac:dyDescent="0.3">
      <c r="A262" s="6" t="s">
        <v>261</v>
      </c>
      <c r="B262" s="10">
        <v>4.8936999999999999</v>
      </c>
      <c r="C262" s="7">
        <f t="shared" si="3"/>
        <v>0.17809621289662544</v>
      </c>
    </row>
    <row r="263" spans="1:3" x14ac:dyDescent="0.3">
      <c r="A263" s="6" t="s">
        <v>262</v>
      </c>
      <c r="B263" s="10">
        <v>4.8901000000000003</v>
      </c>
      <c r="C263" s="7">
        <f t="shared" si="3"/>
        <v>-7.3563970002239687E-2</v>
      </c>
    </row>
    <row r="264" spans="1:3" x14ac:dyDescent="0.3">
      <c r="A264" s="6" t="s">
        <v>263</v>
      </c>
      <c r="B264" s="10">
        <v>4.8794000000000004</v>
      </c>
      <c r="C264" s="7">
        <f t="shared" si="3"/>
        <v>-0.21880943129997202</v>
      </c>
    </row>
    <row r="265" spans="1:3" x14ac:dyDescent="0.3">
      <c r="A265" s="6" t="s">
        <v>264</v>
      </c>
      <c r="B265" s="10">
        <v>4.8543000000000003</v>
      </c>
      <c r="C265" s="7">
        <f t="shared" ref="C265:C328" si="4">(B265-B264)/B264*100</f>
        <v>-0.51440750911997624</v>
      </c>
    </row>
    <row r="266" spans="1:3" x14ac:dyDescent="0.3">
      <c r="A266" s="6" t="s">
        <v>265</v>
      </c>
      <c r="B266" s="10">
        <v>4.8765000000000001</v>
      </c>
      <c r="C266" s="7">
        <f t="shared" si="4"/>
        <v>0.45732649403621062</v>
      </c>
    </row>
    <row r="267" spans="1:3" x14ac:dyDescent="0.3">
      <c r="A267" s="6" t="s">
        <v>266</v>
      </c>
      <c r="B267" s="10">
        <v>4.9038000000000004</v>
      </c>
      <c r="C267" s="7">
        <f t="shared" si="4"/>
        <v>0.55982774530914226</v>
      </c>
    </row>
    <row r="268" spans="1:3" x14ac:dyDescent="0.3">
      <c r="A268" s="6" t="s">
        <v>267</v>
      </c>
      <c r="B268" s="10">
        <v>4.9345999999999997</v>
      </c>
      <c r="C268" s="7">
        <f t="shared" si="4"/>
        <v>0.62808434275458358</v>
      </c>
    </row>
    <row r="269" spans="1:3" x14ac:dyDescent="0.3">
      <c r="A269" s="6" t="s">
        <v>268</v>
      </c>
      <c r="B269" s="10">
        <v>4.9402999999999997</v>
      </c>
      <c r="C269" s="7">
        <f t="shared" si="4"/>
        <v>0.11551088234102132</v>
      </c>
    </row>
    <row r="270" spans="1:3" x14ac:dyDescent="0.3">
      <c r="A270" s="6" t="s">
        <v>269</v>
      </c>
      <c r="B270" s="10">
        <v>4.9222999999999999</v>
      </c>
      <c r="C270" s="7">
        <f t="shared" si="4"/>
        <v>-0.36435034309656894</v>
      </c>
    </row>
    <row r="271" spans="1:3" x14ac:dyDescent="0.3">
      <c r="A271" s="6" t="s">
        <v>270</v>
      </c>
      <c r="B271" s="10">
        <v>4.9489999999999998</v>
      </c>
      <c r="C271" s="7">
        <f t="shared" si="4"/>
        <v>0.54242935213213228</v>
      </c>
    </row>
    <row r="272" spans="1:3" x14ac:dyDescent="0.3">
      <c r="A272" s="6" t="s">
        <v>271</v>
      </c>
      <c r="B272" s="10">
        <v>4.9714999999999998</v>
      </c>
      <c r="C272" s="7">
        <f t="shared" si="4"/>
        <v>0.45463730046473966</v>
      </c>
    </row>
    <row r="273" spans="1:3" x14ac:dyDescent="0.3">
      <c r="A273" s="6" t="s">
        <v>272</v>
      </c>
      <c r="B273" s="10">
        <v>4.9192</v>
      </c>
      <c r="C273" s="7">
        <f t="shared" si="4"/>
        <v>-1.0519963793623612</v>
      </c>
    </row>
    <row r="274" spans="1:3" x14ac:dyDescent="0.3">
      <c r="A274" s="6" t="s">
        <v>273</v>
      </c>
      <c r="B274" s="10">
        <v>4.9231999999999996</v>
      </c>
      <c r="C274" s="7">
        <f t="shared" si="4"/>
        <v>8.1314034802397933E-2</v>
      </c>
    </row>
    <row r="275" spans="1:3" x14ac:dyDescent="0.3">
      <c r="A275" s="6" t="s">
        <v>274</v>
      </c>
      <c r="B275" s="10">
        <v>4.9124999999999996</v>
      </c>
      <c r="C275" s="7">
        <f t="shared" si="4"/>
        <v>-0.21733831654208507</v>
      </c>
    </row>
    <row r="276" spans="1:3" x14ac:dyDescent="0.3">
      <c r="A276" s="6" t="s">
        <v>275</v>
      </c>
      <c r="B276" s="10">
        <v>4.9225000000000003</v>
      </c>
      <c r="C276" s="7">
        <f t="shared" si="4"/>
        <v>0.20356234096693487</v>
      </c>
    </row>
    <row r="277" spans="1:3" x14ac:dyDescent="0.3">
      <c r="A277" s="6" t="s">
        <v>276</v>
      </c>
      <c r="B277" s="10">
        <v>4.9638</v>
      </c>
      <c r="C277" s="7">
        <f t="shared" si="4"/>
        <v>0.83900457084813951</v>
      </c>
    </row>
    <row r="278" spans="1:3" x14ac:dyDescent="0.3">
      <c r="A278" s="6" t="s">
        <v>277</v>
      </c>
      <c r="B278" s="10">
        <v>4.9535</v>
      </c>
      <c r="C278" s="7">
        <f t="shared" si="4"/>
        <v>-0.20750231677343919</v>
      </c>
    </row>
    <row r="279" spans="1:3" x14ac:dyDescent="0.3">
      <c r="A279" s="6" t="s">
        <v>278</v>
      </c>
      <c r="B279" s="10">
        <v>4.9349999999999996</v>
      </c>
      <c r="C279" s="7">
        <f t="shared" si="4"/>
        <v>-0.37347330170587273</v>
      </c>
    </row>
    <row r="280" spans="1:3" x14ac:dyDescent="0.3">
      <c r="A280" s="6" t="s">
        <v>279</v>
      </c>
      <c r="B280" s="10">
        <v>4.9470999999999998</v>
      </c>
      <c r="C280" s="7">
        <f t="shared" si="4"/>
        <v>0.24518743667680287</v>
      </c>
    </row>
    <row r="281" spans="1:3" x14ac:dyDescent="0.3">
      <c r="A281" s="6" t="s">
        <v>280</v>
      </c>
      <c r="B281" s="10">
        <v>5.0053000000000001</v>
      </c>
      <c r="C281" s="7">
        <f t="shared" si="4"/>
        <v>1.1764468072203969</v>
      </c>
    </row>
    <row r="282" spans="1:3" x14ac:dyDescent="0.3">
      <c r="A282" s="6" t="s">
        <v>281</v>
      </c>
      <c r="B282" s="10">
        <v>4.9687000000000001</v>
      </c>
      <c r="C282" s="7">
        <f t="shared" si="4"/>
        <v>-0.73122490160429876</v>
      </c>
    </row>
    <row r="283" spans="1:3" x14ac:dyDescent="0.3">
      <c r="A283" s="6" t="s">
        <v>282</v>
      </c>
      <c r="B283" s="10">
        <v>4.9607999999999999</v>
      </c>
      <c r="C283" s="7">
        <f t="shared" si="4"/>
        <v>-0.15899531064464026</v>
      </c>
    </row>
    <row r="284" spans="1:3" x14ac:dyDescent="0.3">
      <c r="A284" s="6" t="s">
        <v>283</v>
      </c>
      <c r="B284" s="10">
        <v>4.9804000000000004</v>
      </c>
      <c r="C284" s="7">
        <f t="shared" si="4"/>
        <v>0.39509756490889586</v>
      </c>
    </row>
    <row r="285" spans="1:3" x14ac:dyDescent="0.3">
      <c r="A285" s="6" t="s">
        <v>284</v>
      </c>
      <c r="B285" s="10">
        <v>4.9717000000000002</v>
      </c>
      <c r="C285" s="7">
        <f t="shared" si="4"/>
        <v>-0.17468476427596483</v>
      </c>
    </row>
    <row r="286" spans="1:3" x14ac:dyDescent="0.3">
      <c r="A286" s="6" t="s">
        <v>285</v>
      </c>
      <c r="B286" s="10">
        <v>4.9722999999999997</v>
      </c>
      <c r="C286" s="7">
        <f t="shared" si="4"/>
        <v>1.2068306615433148E-2</v>
      </c>
    </row>
    <row r="287" spans="1:3" x14ac:dyDescent="0.3">
      <c r="A287" s="6" t="s">
        <v>286</v>
      </c>
      <c r="B287" s="10">
        <v>4.9710000000000001</v>
      </c>
      <c r="C287" s="7">
        <f t="shared" si="4"/>
        <v>-2.6144842427038489E-2</v>
      </c>
    </row>
    <row r="288" spans="1:3" x14ac:dyDescent="0.3">
      <c r="A288" s="6" t="s">
        <v>287</v>
      </c>
      <c r="B288" s="10">
        <v>4.9760999999999997</v>
      </c>
      <c r="C288" s="7">
        <f t="shared" si="4"/>
        <v>0.10259505129751882</v>
      </c>
    </row>
    <row r="289" spans="1:3" x14ac:dyDescent="0.3">
      <c r="A289" s="6" t="s">
        <v>288</v>
      </c>
      <c r="B289" s="10">
        <v>4.9584999999999999</v>
      </c>
      <c r="C289" s="7">
        <f t="shared" si="4"/>
        <v>-0.35369064126524463</v>
      </c>
    </row>
    <row r="290" spans="1:3" x14ac:dyDescent="0.3">
      <c r="A290" s="6" t="s">
        <v>289</v>
      </c>
      <c r="B290" s="10">
        <v>4.9408000000000003</v>
      </c>
      <c r="C290" s="7">
        <f t="shared" si="4"/>
        <v>-0.35696279116667551</v>
      </c>
    </row>
    <row r="291" spans="1:3" x14ac:dyDescent="0.3">
      <c r="A291" s="6" t="s">
        <v>290</v>
      </c>
      <c r="B291" s="10">
        <v>4.9302999999999999</v>
      </c>
      <c r="C291" s="7">
        <f t="shared" si="4"/>
        <v>-0.21251619170985259</v>
      </c>
    </row>
    <row r="292" spans="1:3" x14ac:dyDescent="0.3">
      <c r="A292" s="6" t="s">
        <v>291</v>
      </c>
      <c r="B292" s="10">
        <v>4.9419000000000004</v>
      </c>
      <c r="C292" s="7">
        <f t="shared" si="4"/>
        <v>0.23527980041783458</v>
      </c>
    </row>
    <row r="293" spans="1:3" x14ac:dyDescent="0.3">
      <c r="A293" s="6" t="s">
        <v>292</v>
      </c>
      <c r="B293" s="10">
        <v>4.9851000000000001</v>
      </c>
      <c r="C293" s="7">
        <f t="shared" si="4"/>
        <v>0.87415771262064557</v>
      </c>
    </row>
    <row r="294" spans="1:3" x14ac:dyDescent="0.3">
      <c r="A294" s="6" t="s">
        <v>293</v>
      </c>
      <c r="B294" s="10">
        <v>4.9819000000000004</v>
      </c>
      <c r="C294" s="7">
        <f t="shared" si="4"/>
        <v>-6.4191290044325042E-2</v>
      </c>
    </row>
    <row r="295" spans="1:3" x14ac:dyDescent="0.3">
      <c r="A295" s="6" t="s">
        <v>294</v>
      </c>
      <c r="B295" s="10">
        <v>4.9574999999999996</v>
      </c>
      <c r="C295" s="7">
        <f t="shared" si="4"/>
        <v>-0.48977297818103255</v>
      </c>
    </row>
    <row r="296" spans="1:3" x14ac:dyDescent="0.3">
      <c r="A296" s="6" t="s">
        <v>295</v>
      </c>
      <c r="B296" s="10">
        <v>4.9557000000000002</v>
      </c>
      <c r="C296" s="7">
        <f t="shared" si="4"/>
        <v>-3.6308623298020329E-2</v>
      </c>
    </row>
    <row r="297" spans="1:3" x14ac:dyDescent="0.3">
      <c r="A297" s="6" t="s">
        <v>296</v>
      </c>
      <c r="B297" s="10">
        <v>4.9832999999999998</v>
      </c>
      <c r="C297" s="7">
        <f t="shared" si="4"/>
        <v>0.55693443913069041</v>
      </c>
    </row>
    <row r="298" spans="1:3" x14ac:dyDescent="0.3">
      <c r="A298" s="6" t="s">
        <v>297</v>
      </c>
      <c r="B298" s="10">
        <v>4.9596</v>
      </c>
      <c r="C298" s="7">
        <f t="shared" si="4"/>
        <v>-0.47558846547468214</v>
      </c>
    </row>
    <row r="299" spans="1:3" x14ac:dyDescent="0.3">
      <c r="A299" s="6" t="s">
        <v>298</v>
      </c>
      <c r="B299" s="10">
        <v>4.9474999999999998</v>
      </c>
      <c r="C299" s="7">
        <f t="shared" si="4"/>
        <v>-0.24397128800710183</v>
      </c>
    </row>
    <row r="300" spans="1:3" x14ac:dyDescent="0.3">
      <c r="A300" s="6" t="s">
        <v>299</v>
      </c>
      <c r="B300" s="10">
        <v>4.9488000000000003</v>
      </c>
      <c r="C300" s="7">
        <f t="shared" si="4"/>
        <v>2.6275896917645737E-2</v>
      </c>
    </row>
    <row r="301" spans="1:3" x14ac:dyDescent="0.3">
      <c r="A301" s="6" t="s">
        <v>300</v>
      </c>
      <c r="B301" s="10">
        <v>4.9398</v>
      </c>
      <c r="C301" s="7">
        <f t="shared" si="4"/>
        <v>-0.181862269641132</v>
      </c>
    </row>
    <row r="302" spans="1:3" x14ac:dyDescent="0.3">
      <c r="A302" s="6" t="s">
        <v>301</v>
      </c>
      <c r="B302" s="10">
        <v>4.9363999999999999</v>
      </c>
      <c r="C302" s="7">
        <f t="shared" si="4"/>
        <v>-6.8828697518119555E-2</v>
      </c>
    </row>
    <row r="303" spans="1:3" x14ac:dyDescent="0.3">
      <c r="A303" s="6" t="s">
        <v>302</v>
      </c>
      <c r="B303" s="10">
        <v>4.9751000000000003</v>
      </c>
      <c r="C303" s="7">
        <f t="shared" si="4"/>
        <v>0.78397212543554817</v>
      </c>
    </row>
    <row r="304" spans="1:3" x14ac:dyDescent="0.3">
      <c r="A304" s="6" t="s">
        <v>303</v>
      </c>
      <c r="B304" s="10">
        <v>4.9776999999999996</v>
      </c>
      <c r="C304" s="7">
        <f t="shared" si="4"/>
        <v>5.2260256075240083E-2</v>
      </c>
    </row>
    <row r="305" spans="1:3" x14ac:dyDescent="0.3">
      <c r="A305" s="6" t="s">
        <v>304</v>
      </c>
      <c r="B305" s="10">
        <v>4.9813000000000001</v>
      </c>
      <c r="C305" s="7">
        <f t="shared" si="4"/>
        <v>7.232255861141676E-2</v>
      </c>
    </row>
    <row r="306" spans="1:3" x14ac:dyDescent="0.3">
      <c r="A306" s="6" t="s">
        <v>305</v>
      </c>
      <c r="B306" s="10">
        <v>4.9802999999999997</v>
      </c>
      <c r="C306" s="7">
        <f t="shared" si="4"/>
        <v>-2.0075080802206935E-2</v>
      </c>
    </row>
    <row r="307" spans="1:3" x14ac:dyDescent="0.3">
      <c r="A307" s="6" t="s">
        <v>306</v>
      </c>
      <c r="B307" s="10">
        <v>4.9767999999999999</v>
      </c>
      <c r="C307" s="7">
        <f t="shared" si="4"/>
        <v>-7.0276890950341078E-2</v>
      </c>
    </row>
    <row r="308" spans="1:3" x14ac:dyDescent="0.3">
      <c r="A308" s="6" t="s">
        <v>307</v>
      </c>
      <c r="B308" s="10">
        <v>4.9936999999999996</v>
      </c>
      <c r="C308" s="7">
        <f t="shared" si="4"/>
        <v>0.33957563092749748</v>
      </c>
    </row>
    <row r="309" spans="1:3" x14ac:dyDescent="0.3">
      <c r="A309" s="6" t="s">
        <v>308</v>
      </c>
      <c r="B309" s="10">
        <v>5.0124000000000004</v>
      </c>
      <c r="C309" s="7">
        <f t="shared" si="4"/>
        <v>0.37447183451150107</v>
      </c>
    </row>
    <row r="310" spans="1:3" x14ac:dyDescent="0.3">
      <c r="A310" s="6" t="s">
        <v>309</v>
      </c>
      <c r="B310" s="10">
        <v>5.0351999999999997</v>
      </c>
      <c r="C310" s="7">
        <f t="shared" si="4"/>
        <v>0.45487191764422763</v>
      </c>
    </row>
    <row r="311" spans="1:3" x14ac:dyDescent="0.3">
      <c r="A311" s="6" t="s">
        <v>310</v>
      </c>
      <c r="B311" s="10">
        <v>5.0119999999999996</v>
      </c>
      <c r="C311" s="7">
        <f t="shared" si="4"/>
        <v>-0.4607562758182418</v>
      </c>
    </row>
    <row r="312" spans="1:3" x14ac:dyDescent="0.3">
      <c r="A312" s="6" t="s">
        <v>311</v>
      </c>
      <c r="B312" s="10">
        <v>4.9806999999999997</v>
      </c>
      <c r="C312" s="7">
        <f t="shared" si="4"/>
        <v>-0.62450119712689312</v>
      </c>
    </row>
    <row r="313" spans="1:3" x14ac:dyDescent="0.3">
      <c r="A313" s="6" t="s">
        <v>312</v>
      </c>
      <c r="B313" s="10">
        <v>4.9897</v>
      </c>
      <c r="C313" s="7">
        <f t="shared" si="4"/>
        <v>0.18069749232036345</v>
      </c>
    </row>
    <row r="314" spans="1:3" x14ac:dyDescent="0.3">
      <c r="A314" s="6" t="s">
        <v>313</v>
      </c>
      <c r="B314" s="10">
        <v>4.9869000000000003</v>
      </c>
      <c r="C314" s="7">
        <f t="shared" si="4"/>
        <v>-5.6115598132146054E-2</v>
      </c>
    </row>
    <row r="315" spans="1:3" x14ac:dyDescent="0.3">
      <c r="A315" s="6" t="s">
        <v>314</v>
      </c>
      <c r="B315" s="10">
        <v>4.9870000000000001</v>
      </c>
      <c r="C315" s="7">
        <f t="shared" si="4"/>
        <v>2.0052537648592699E-3</v>
      </c>
    </row>
    <row r="316" spans="1:3" x14ac:dyDescent="0.3">
      <c r="A316" s="6" t="s">
        <v>315</v>
      </c>
      <c r="B316" s="10">
        <v>4.9855999999999998</v>
      </c>
      <c r="C316" s="7">
        <f t="shared" si="4"/>
        <v>-2.8072989773416681E-2</v>
      </c>
    </row>
    <row r="317" spans="1:3" x14ac:dyDescent="0.3">
      <c r="A317" s="6" t="s">
        <v>316</v>
      </c>
      <c r="B317" s="10">
        <v>4.9962</v>
      </c>
      <c r="C317" s="7">
        <f t="shared" si="4"/>
        <v>0.21261232349165929</v>
      </c>
    </row>
    <row r="318" spans="1:3" x14ac:dyDescent="0.3">
      <c r="A318" s="6" t="s">
        <v>317</v>
      </c>
      <c r="B318" s="10">
        <v>5.0532000000000004</v>
      </c>
      <c r="C318" s="7">
        <f t="shared" si="4"/>
        <v>1.1408670589648209</v>
      </c>
    </row>
    <row r="319" spans="1:3" x14ac:dyDescent="0.3">
      <c r="A319" s="6" t="s">
        <v>318</v>
      </c>
      <c r="B319" s="10">
        <v>5.0476000000000001</v>
      </c>
      <c r="C319" s="7">
        <f t="shared" si="4"/>
        <v>-0.11082086598591528</v>
      </c>
    </row>
    <row r="320" spans="1:3" x14ac:dyDescent="0.3">
      <c r="A320" s="6" t="s">
        <v>319</v>
      </c>
      <c r="B320" s="10">
        <v>5.0724</v>
      </c>
      <c r="C320" s="7">
        <f t="shared" si="4"/>
        <v>0.49132260876456008</v>
      </c>
    </row>
    <row r="321" spans="1:3" x14ac:dyDescent="0.3">
      <c r="A321" s="6" t="s">
        <v>320</v>
      </c>
      <c r="B321" s="10">
        <v>5.0236999999999998</v>
      </c>
      <c r="C321" s="7">
        <f t="shared" si="4"/>
        <v>-0.96009778408643232</v>
      </c>
    </row>
    <row r="322" spans="1:3" x14ac:dyDescent="0.3">
      <c r="A322" s="6" t="s">
        <v>321</v>
      </c>
      <c r="B322" s="10">
        <v>5.0519999999999996</v>
      </c>
      <c r="C322" s="7">
        <f t="shared" si="4"/>
        <v>0.56332981666898441</v>
      </c>
    </row>
    <row r="323" spans="1:3" x14ac:dyDescent="0.3">
      <c r="A323" s="6" t="s">
        <v>322</v>
      </c>
      <c r="B323" s="10">
        <v>5.0420999999999996</v>
      </c>
      <c r="C323" s="7">
        <f t="shared" si="4"/>
        <v>-0.19596199524940661</v>
      </c>
    </row>
    <row r="324" spans="1:3" x14ac:dyDescent="0.3">
      <c r="A324" s="6" t="s">
        <v>323</v>
      </c>
      <c r="B324" s="10">
        <v>5.008</v>
      </c>
      <c r="C324" s="7">
        <f t="shared" si="4"/>
        <v>-0.67630550762578245</v>
      </c>
    </row>
    <row r="325" spans="1:3" x14ac:dyDescent="0.3">
      <c r="A325" s="6" t="s">
        <v>324</v>
      </c>
      <c r="B325" s="10">
        <v>5.0654000000000003</v>
      </c>
      <c r="C325" s="7">
        <f t="shared" si="4"/>
        <v>1.1461661341853102</v>
      </c>
    </row>
    <row r="326" spans="1:3" x14ac:dyDescent="0.3">
      <c r="A326" s="6" t="s">
        <v>325</v>
      </c>
      <c r="B326" s="10">
        <v>5.0765000000000002</v>
      </c>
      <c r="C326" s="7">
        <f t="shared" si="4"/>
        <v>0.21913373080111909</v>
      </c>
    </row>
    <row r="327" spans="1:3" x14ac:dyDescent="0.3">
      <c r="A327" s="6" t="s">
        <v>326</v>
      </c>
      <c r="B327" s="10">
        <v>5.1364000000000001</v>
      </c>
      <c r="C327" s="7">
        <f t="shared" si="4"/>
        <v>1.1799468137496276</v>
      </c>
    </row>
    <row r="328" spans="1:3" x14ac:dyDescent="0.3">
      <c r="A328" s="6" t="s">
        <v>327</v>
      </c>
      <c r="B328" s="10">
        <v>5.1745999999999999</v>
      </c>
      <c r="C328" s="7">
        <f t="shared" si="4"/>
        <v>0.74371154894478209</v>
      </c>
    </row>
    <row r="329" spans="1:3" x14ac:dyDescent="0.3">
      <c r="A329" s="6" t="s">
        <v>328</v>
      </c>
      <c r="B329" s="10">
        <v>5.2634999999999996</v>
      </c>
      <c r="C329" s="7">
        <f t="shared" ref="C329:C392" si="5">(B329-B328)/B328*100</f>
        <v>1.718007188961461</v>
      </c>
    </row>
    <row r="330" spans="1:3" x14ac:dyDescent="0.3">
      <c r="A330" s="6" t="s">
        <v>329</v>
      </c>
      <c r="B330" s="10">
        <v>5.2469000000000001</v>
      </c>
      <c r="C330" s="7">
        <f t="shared" si="5"/>
        <v>-0.31537950033246898</v>
      </c>
    </row>
    <row r="331" spans="1:3" x14ac:dyDescent="0.3">
      <c r="A331" s="6" t="s">
        <v>330</v>
      </c>
      <c r="B331" s="10">
        <v>5.2511999999999999</v>
      </c>
      <c r="C331" s="7">
        <f t="shared" si="5"/>
        <v>8.1953153290509603E-2</v>
      </c>
    </row>
    <row r="332" spans="1:3" x14ac:dyDescent="0.3">
      <c r="A332" s="6" t="s">
        <v>331</v>
      </c>
      <c r="B332" s="10">
        <v>5.2268999999999997</v>
      </c>
      <c r="C332" s="7">
        <f t="shared" si="5"/>
        <v>-0.46275137111517772</v>
      </c>
    </row>
    <row r="333" spans="1:3" x14ac:dyDescent="0.3">
      <c r="A333" s="6" t="s">
        <v>332</v>
      </c>
      <c r="B333" s="10">
        <v>5.2042999999999999</v>
      </c>
      <c r="C333" s="7">
        <f t="shared" si="5"/>
        <v>-0.43237865656507168</v>
      </c>
    </row>
    <row r="334" spans="1:3" x14ac:dyDescent="0.3">
      <c r="A334" s="6" t="s">
        <v>333</v>
      </c>
      <c r="B334" s="10">
        <v>5.1626000000000003</v>
      </c>
      <c r="C334" s="7">
        <f t="shared" si="5"/>
        <v>-0.80126049612819439</v>
      </c>
    </row>
    <row r="335" spans="1:3" x14ac:dyDescent="0.3">
      <c r="A335" s="6" t="s">
        <v>334</v>
      </c>
      <c r="B335" s="10">
        <v>5.1592000000000002</v>
      </c>
      <c r="C335" s="7">
        <f t="shared" si="5"/>
        <v>-6.5858288459304803E-2</v>
      </c>
    </row>
    <row r="336" spans="1:3" x14ac:dyDescent="0.3">
      <c r="A336" s="6" t="s">
        <v>335</v>
      </c>
      <c r="B336" s="10">
        <v>5.1679000000000004</v>
      </c>
      <c r="C336" s="7">
        <f t="shared" si="5"/>
        <v>0.16863079547216916</v>
      </c>
    </row>
    <row r="337" spans="1:3" x14ac:dyDescent="0.3">
      <c r="A337" s="6" t="s">
        <v>336</v>
      </c>
      <c r="B337" s="10">
        <v>5.1184000000000003</v>
      </c>
      <c r="C337" s="7">
        <f t="shared" si="5"/>
        <v>-0.95783587143714266</v>
      </c>
    </row>
    <row r="338" spans="1:3" x14ac:dyDescent="0.3">
      <c r="A338" s="6" t="s">
        <v>337</v>
      </c>
      <c r="B338" s="10">
        <v>5.1154999999999999</v>
      </c>
      <c r="C338" s="7">
        <f t="shared" si="5"/>
        <v>-5.665833072835938E-2</v>
      </c>
    </row>
    <row r="339" spans="1:3" x14ac:dyDescent="0.3">
      <c r="A339" s="6" t="s">
        <v>338</v>
      </c>
      <c r="B339" s="10">
        <v>5.1718000000000002</v>
      </c>
      <c r="C339" s="7">
        <f t="shared" si="5"/>
        <v>1.1005766787215372</v>
      </c>
    </row>
    <row r="340" spans="1:3" x14ac:dyDescent="0.3">
      <c r="A340" s="6" t="s">
        <v>339</v>
      </c>
      <c r="B340" s="10">
        <v>5.1184000000000003</v>
      </c>
      <c r="C340" s="7">
        <f t="shared" si="5"/>
        <v>-1.0325225260064175</v>
      </c>
    </row>
    <row r="341" spans="1:3" x14ac:dyDescent="0.3">
      <c r="A341" s="6" t="s">
        <v>340</v>
      </c>
      <c r="B341" s="10">
        <v>5.0667999999999997</v>
      </c>
      <c r="C341" s="7">
        <f t="shared" si="5"/>
        <v>-1.0081275398562155</v>
      </c>
    </row>
    <row r="342" spans="1:3" x14ac:dyDescent="0.3">
      <c r="A342" s="6" t="s">
        <v>341</v>
      </c>
      <c r="B342" s="10">
        <v>5.0727000000000002</v>
      </c>
      <c r="C342" s="7">
        <f t="shared" si="5"/>
        <v>0.11644430409726969</v>
      </c>
    </row>
    <row r="343" spans="1:3" x14ac:dyDescent="0.3">
      <c r="A343" s="6" t="s">
        <v>342</v>
      </c>
      <c r="B343" s="10">
        <v>5.0609999999999999</v>
      </c>
      <c r="C343" s="7">
        <f t="shared" si="5"/>
        <v>-0.23064640132474357</v>
      </c>
    </row>
    <row r="344" spans="1:3" x14ac:dyDescent="0.3">
      <c r="A344" s="6" t="s">
        <v>343</v>
      </c>
      <c r="B344" s="10">
        <v>5.0887000000000002</v>
      </c>
      <c r="C344" s="7">
        <f t="shared" si="5"/>
        <v>0.54732266350524161</v>
      </c>
    </row>
    <row r="345" spans="1:3" x14ac:dyDescent="0.3">
      <c r="A345" s="6" t="s">
        <v>344</v>
      </c>
      <c r="B345" s="10">
        <v>5.1577000000000002</v>
      </c>
      <c r="C345" s="7">
        <f t="shared" si="5"/>
        <v>1.3559455263623312</v>
      </c>
    </row>
    <row r="346" spans="1:3" x14ac:dyDescent="0.3">
      <c r="A346" s="6" t="s">
        <v>345</v>
      </c>
      <c r="B346" s="10">
        <v>5.1463999999999999</v>
      </c>
      <c r="C346" s="7">
        <f t="shared" si="5"/>
        <v>-0.21908990441476453</v>
      </c>
    </row>
    <row r="347" spans="1:3" x14ac:dyDescent="0.3">
      <c r="A347" s="6" t="s">
        <v>346</v>
      </c>
      <c r="B347" s="10">
        <v>5.1412000000000004</v>
      </c>
      <c r="C347" s="7">
        <f t="shared" si="5"/>
        <v>-0.10104150474116717</v>
      </c>
    </row>
    <row r="348" spans="1:3" x14ac:dyDescent="0.3">
      <c r="A348" s="6" t="s">
        <v>347</v>
      </c>
      <c r="B348" s="10">
        <v>5.1356000000000002</v>
      </c>
      <c r="C348" s="7">
        <f t="shared" si="5"/>
        <v>-0.10892398661791547</v>
      </c>
    </row>
    <row r="349" spans="1:3" x14ac:dyDescent="0.3">
      <c r="A349" s="6" t="s">
        <v>348</v>
      </c>
      <c r="B349" s="10">
        <v>5.1422999999999996</v>
      </c>
      <c r="C349" s="7">
        <f t="shared" si="5"/>
        <v>0.13046187397771408</v>
      </c>
    </row>
    <row r="350" spans="1:3" x14ac:dyDescent="0.3">
      <c r="A350" s="6" t="s">
        <v>349</v>
      </c>
      <c r="B350" s="10">
        <v>5.1269999999999998</v>
      </c>
      <c r="C350" s="7">
        <f t="shared" si="5"/>
        <v>-0.29753223265853551</v>
      </c>
    </row>
    <row r="351" spans="1:3" x14ac:dyDescent="0.3">
      <c r="A351" s="6" t="s">
        <v>350</v>
      </c>
      <c r="B351" s="10">
        <v>5.1157000000000004</v>
      </c>
      <c r="C351" s="7">
        <f t="shared" si="5"/>
        <v>-0.22040179442167782</v>
      </c>
    </row>
    <row r="352" spans="1:3" x14ac:dyDescent="0.3">
      <c r="A352" s="6" t="s">
        <v>351</v>
      </c>
      <c r="B352" s="10">
        <v>5.1085000000000003</v>
      </c>
      <c r="C352" s="7">
        <f t="shared" si="5"/>
        <v>-0.14074320229880749</v>
      </c>
    </row>
    <row r="353" spans="1:3" x14ac:dyDescent="0.3">
      <c r="A353" s="6" t="s">
        <v>352</v>
      </c>
      <c r="B353" s="10">
        <v>5.1036999999999999</v>
      </c>
      <c r="C353" s="7">
        <f t="shared" si="5"/>
        <v>-9.3961045316636183E-2</v>
      </c>
    </row>
    <row r="354" spans="1:3" x14ac:dyDescent="0.3">
      <c r="A354" s="6" t="s">
        <v>353</v>
      </c>
      <c r="B354" s="10">
        <v>5.1501999999999999</v>
      </c>
      <c r="C354" s="7">
        <f t="shared" si="5"/>
        <v>0.911103709073809</v>
      </c>
    </row>
    <row r="355" spans="1:3" x14ac:dyDescent="0.3">
      <c r="A355" s="6" t="s">
        <v>354</v>
      </c>
      <c r="B355" s="10">
        <v>5.1443000000000003</v>
      </c>
      <c r="C355" s="7">
        <f t="shared" si="5"/>
        <v>-0.11455865791618913</v>
      </c>
    </row>
    <row r="356" spans="1:3" x14ac:dyDescent="0.3">
      <c r="A356" s="6" t="s">
        <v>355</v>
      </c>
      <c r="B356" s="10">
        <v>5.1508000000000003</v>
      </c>
      <c r="C356" s="7">
        <f t="shared" si="5"/>
        <v>0.12635343972940827</v>
      </c>
    </row>
    <row r="357" spans="1:3" x14ac:dyDescent="0.3">
      <c r="A357" s="6" t="s">
        <v>356</v>
      </c>
      <c r="B357" s="10">
        <v>5.1703999999999999</v>
      </c>
      <c r="C357" s="7">
        <f t="shared" si="5"/>
        <v>0.38052341383861954</v>
      </c>
    </row>
    <row r="358" spans="1:3" x14ac:dyDescent="0.3">
      <c r="A358" s="6" t="s">
        <v>357</v>
      </c>
      <c r="B358" s="10">
        <v>5.1538000000000004</v>
      </c>
      <c r="C358" s="7">
        <f t="shared" si="5"/>
        <v>-0.32105833204393286</v>
      </c>
    </row>
    <row r="359" spans="1:3" x14ac:dyDescent="0.3">
      <c r="A359" s="6" t="s">
        <v>358</v>
      </c>
      <c r="B359" s="10">
        <v>5.1971999999999996</v>
      </c>
      <c r="C359" s="7">
        <f t="shared" si="5"/>
        <v>0.84209709340679129</v>
      </c>
    </row>
    <row r="360" spans="1:3" x14ac:dyDescent="0.3">
      <c r="A360" s="6" t="s">
        <v>359</v>
      </c>
      <c r="B360" s="10">
        <v>5.2416</v>
      </c>
      <c r="C360" s="7">
        <f t="shared" si="5"/>
        <v>0.85430616485800903</v>
      </c>
    </row>
    <row r="361" spans="1:3" x14ac:dyDescent="0.3">
      <c r="A361" s="6" t="s">
        <v>360</v>
      </c>
      <c r="B361" s="10">
        <v>5.2373000000000003</v>
      </c>
      <c r="C361" s="7">
        <f t="shared" si="5"/>
        <v>-8.2036019536014734E-2</v>
      </c>
    </row>
    <row r="362" spans="1:3" x14ac:dyDescent="0.3">
      <c r="A362" s="6" t="s">
        <v>361</v>
      </c>
      <c r="B362" s="10">
        <v>5.2686999999999999</v>
      </c>
      <c r="C362" s="7">
        <f t="shared" si="5"/>
        <v>0.59954556737249443</v>
      </c>
    </row>
    <row r="363" spans="1:3" x14ac:dyDescent="0.3">
      <c r="A363" s="6" t="s">
        <v>362</v>
      </c>
      <c r="B363" s="10">
        <v>5.2840999999999996</v>
      </c>
      <c r="C363" s="7">
        <f t="shared" si="5"/>
        <v>0.29229221629623314</v>
      </c>
    </row>
    <row r="364" spans="1:3" x14ac:dyDescent="0.3">
      <c r="A364" s="6" t="s">
        <v>363</v>
      </c>
      <c r="B364" s="10">
        <v>5.2680999999999996</v>
      </c>
      <c r="C364" s="7">
        <f t="shared" si="5"/>
        <v>-0.30279517798679084</v>
      </c>
    </row>
    <row r="365" spans="1:3" x14ac:dyDescent="0.3">
      <c r="A365" s="6" t="s">
        <v>364</v>
      </c>
      <c r="B365" s="10">
        <v>5.2801999999999998</v>
      </c>
      <c r="C365" s="7">
        <f t="shared" si="5"/>
        <v>0.2296843264174982</v>
      </c>
    </row>
    <row r="366" spans="1:3" x14ac:dyDescent="0.3">
      <c r="A366" s="6" t="s">
        <v>365</v>
      </c>
      <c r="B366" s="10">
        <v>5.3666</v>
      </c>
      <c r="C366" s="7">
        <f t="shared" si="5"/>
        <v>1.6363016552403367</v>
      </c>
    </row>
    <row r="367" spans="1:3" x14ac:dyDescent="0.3">
      <c r="A367" s="6" t="s">
        <v>366</v>
      </c>
      <c r="B367" s="10">
        <v>5.3524000000000003</v>
      </c>
      <c r="C367" s="7">
        <f t="shared" si="5"/>
        <v>-0.26459956024298009</v>
      </c>
    </row>
    <row r="368" spans="1:3" x14ac:dyDescent="0.3">
      <c r="A368" s="6" t="s">
        <v>367</v>
      </c>
      <c r="B368" s="10">
        <v>5.3891</v>
      </c>
      <c r="C368" s="7">
        <f t="shared" si="5"/>
        <v>0.68567371646363751</v>
      </c>
    </row>
    <row r="369" spans="1:3" x14ac:dyDescent="0.3">
      <c r="A369" s="6" t="s">
        <v>368</v>
      </c>
      <c r="B369" s="10">
        <v>5.3974000000000002</v>
      </c>
      <c r="C369" s="7">
        <f t="shared" si="5"/>
        <v>0.15401458499564299</v>
      </c>
    </row>
    <row r="370" spans="1:3" x14ac:dyDescent="0.3">
      <c r="A370" s="6" t="s">
        <v>369</v>
      </c>
      <c r="B370" s="10">
        <v>5.3630000000000004</v>
      </c>
      <c r="C370" s="7">
        <f t="shared" si="5"/>
        <v>-0.63734390632526328</v>
      </c>
    </row>
    <row r="371" spans="1:3" x14ac:dyDescent="0.3">
      <c r="A371" s="6" t="s">
        <v>370</v>
      </c>
      <c r="B371" s="10">
        <v>5.4130000000000003</v>
      </c>
      <c r="C371" s="7">
        <f t="shared" si="5"/>
        <v>0.93231400335632708</v>
      </c>
    </row>
    <row r="372" spans="1:3" x14ac:dyDescent="0.3">
      <c r="A372" s="6" t="s">
        <v>371</v>
      </c>
      <c r="B372" s="10">
        <v>5.4074</v>
      </c>
      <c r="C372" s="7">
        <f t="shared" si="5"/>
        <v>-0.10345464622206302</v>
      </c>
    </row>
    <row r="373" spans="1:3" x14ac:dyDescent="0.3">
      <c r="A373" s="6" t="s">
        <v>372</v>
      </c>
      <c r="B373" s="10">
        <v>5.4646999999999997</v>
      </c>
      <c r="C373" s="7">
        <f t="shared" si="5"/>
        <v>1.0596589858342214</v>
      </c>
    </row>
    <row r="374" spans="1:3" x14ac:dyDescent="0.3">
      <c r="A374" s="6" t="s">
        <v>373</v>
      </c>
      <c r="B374" s="10">
        <v>5.4253999999999998</v>
      </c>
      <c r="C374" s="7">
        <f t="shared" si="5"/>
        <v>-0.71916116163741639</v>
      </c>
    </row>
    <row r="375" spans="1:3" x14ac:dyDescent="0.3">
      <c r="A375" s="6" t="s">
        <v>374</v>
      </c>
      <c r="B375" s="10">
        <v>5.4416000000000002</v>
      </c>
      <c r="C375" s="7">
        <f t="shared" si="5"/>
        <v>0.29859549526303014</v>
      </c>
    </row>
    <row r="376" spans="1:3" x14ac:dyDescent="0.3">
      <c r="A376" s="6" t="s">
        <v>375</v>
      </c>
      <c r="B376" s="10">
        <v>5.4</v>
      </c>
      <c r="C376" s="7">
        <f t="shared" si="5"/>
        <v>-0.76448103498970632</v>
      </c>
    </row>
    <row r="377" spans="1:3" x14ac:dyDescent="0.3">
      <c r="A377" s="6" t="s">
        <v>376</v>
      </c>
      <c r="B377" s="10">
        <v>5.4290000000000003</v>
      </c>
      <c r="C377" s="7">
        <f t="shared" si="5"/>
        <v>0.53703703703703543</v>
      </c>
    </row>
    <row r="378" spans="1:3" x14ac:dyDescent="0.3">
      <c r="A378" s="6" t="s">
        <v>377</v>
      </c>
      <c r="B378" s="10">
        <v>5.5096999999999996</v>
      </c>
      <c r="C378" s="7">
        <f t="shared" si="5"/>
        <v>1.4864615951372135</v>
      </c>
    </row>
    <row r="379" spans="1:3" x14ac:dyDescent="0.3">
      <c r="A379" s="6" t="s">
        <v>378</v>
      </c>
      <c r="B379" s="10">
        <v>5.5228999999999999</v>
      </c>
      <c r="C379" s="7">
        <f t="shared" si="5"/>
        <v>0.23957747245767144</v>
      </c>
    </row>
    <row r="380" spans="1:3" x14ac:dyDescent="0.3">
      <c r="A380" s="6" t="s">
        <v>379</v>
      </c>
      <c r="B380" s="10">
        <v>5.5589000000000004</v>
      </c>
      <c r="C380" s="7">
        <f t="shared" si="5"/>
        <v>0.65183146535335557</v>
      </c>
    </row>
    <row r="381" spans="1:3" x14ac:dyDescent="0.3">
      <c r="A381" s="6" t="s">
        <v>380</v>
      </c>
      <c r="B381" s="10">
        <v>5.5892999999999997</v>
      </c>
      <c r="C381" s="7">
        <f t="shared" si="5"/>
        <v>0.54687078378814724</v>
      </c>
    </row>
    <row r="382" spans="1:3" x14ac:dyDescent="0.3">
      <c r="A382" s="6" t="s">
        <v>381</v>
      </c>
      <c r="B382" s="10">
        <v>5.6677</v>
      </c>
      <c r="C382" s="7">
        <f t="shared" si="5"/>
        <v>1.4026801209453823</v>
      </c>
    </row>
    <row r="383" spans="1:3" x14ac:dyDescent="0.3">
      <c r="A383" s="6" t="s">
        <v>382</v>
      </c>
      <c r="B383" s="10">
        <v>5.5862999999999996</v>
      </c>
      <c r="C383" s="7">
        <f t="shared" si="5"/>
        <v>-1.4362086913562884</v>
      </c>
    </row>
    <row r="384" spans="1:3" x14ac:dyDescent="0.3">
      <c r="A384" s="6" t="s">
        <v>383</v>
      </c>
      <c r="B384" s="10">
        <v>5.4839000000000002</v>
      </c>
      <c r="C384" s="7">
        <f t="shared" si="5"/>
        <v>-1.8330558688219285</v>
      </c>
    </row>
    <row r="385" spans="1:3" x14ac:dyDescent="0.3">
      <c r="A385" s="6" t="s">
        <v>384</v>
      </c>
      <c r="B385" s="10">
        <v>5.4969999999999999</v>
      </c>
      <c r="C385" s="7">
        <f t="shared" si="5"/>
        <v>0.23888108827658541</v>
      </c>
    </row>
    <row r="386" spans="1:3" x14ac:dyDescent="0.3">
      <c r="A386" s="6" t="s">
        <v>385</v>
      </c>
      <c r="B386" s="10">
        <v>5.4720000000000004</v>
      </c>
      <c r="C386" s="7">
        <f t="shared" si="5"/>
        <v>-0.45479352374021226</v>
      </c>
    </row>
    <row r="387" spans="1:3" x14ac:dyDescent="0.3">
      <c r="A387" s="6" t="s">
        <v>386</v>
      </c>
      <c r="B387" s="10">
        <v>5.4386999999999999</v>
      </c>
      <c r="C387" s="7">
        <f t="shared" si="5"/>
        <v>-0.60855263157895745</v>
      </c>
    </row>
    <row r="388" spans="1:3" x14ac:dyDescent="0.3">
      <c r="A388" s="6" t="s">
        <v>387</v>
      </c>
      <c r="B388" s="10">
        <v>5.3967000000000001</v>
      </c>
      <c r="C388" s="7">
        <f t="shared" si="5"/>
        <v>-0.77224336698107665</v>
      </c>
    </row>
    <row r="389" spans="1:3" x14ac:dyDescent="0.3">
      <c r="A389" s="6" t="s">
        <v>388</v>
      </c>
      <c r="B389" s="10">
        <v>5.41</v>
      </c>
      <c r="C389" s="7">
        <f t="shared" si="5"/>
        <v>0.24644690273685935</v>
      </c>
    </row>
    <row r="390" spans="1:3" x14ac:dyDescent="0.3">
      <c r="A390" s="6" t="s">
        <v>389</v>
      </c>
      <c r="B390" s="10">
        <v>5.4528999999999996</v>
      </c>
      <c r="C390" s="7">
        <f t="shared" si="5"/>
        <v>0.79297597042512924</v>
      </c>
    </row>
    <row r="391" spans="1:3" x14ac:dyDescent="0.3">
      <c r="A391" s="6" t="s">
        <v>390</v>
      </c>
      <c r="B391" s="10">
        <v>5.4562999999999997</v>
      </c>
      <c r="C391" s="7">
        <f t="shared" si="5"/>
        <v>6.2352142896441712E-2</v>
      </c>
    </row>
    <row r="392" spans="1:3" x14ac:dyDescent="0.3">
      <c r="A392" s="6" t="s">
        <v>391</v>
      </c>
      <c r="B392" s="10">
        <v>5.4273999999999996</v>
      </c>
      <c r="C392" s="7">
        <f t="shared" si="5"/>
        <v>-0.52966295841504585</v>
      </c>
    </row>
    <row r="393" spans="1:3" x14ac:dyDescent="0.3">
      <c r="A393" s="6" t="s">
        <v>392</v>
      </c>
      <c r="B393" s="10">
        <v>5.4669999999999996</v>
      </c>
      <c r="C393" s="7">
        <f t="shared" ref="C393:C456" si="6">(B393-B392)/B392*100</f>
        <v>0.72963113092825449</v>
      </c>
    </row>
    <row r="394" spans="1:3" x14ac:dyDescent="0.3">
      <c r="A394" s="6" t="s">
        <v>393</v>
      </c>
      <c r="B394" s="10">
        <v>5.5426000000000002</v>
      </c>
      <c r="C394" s="7">
        <f t="shared" si="6"/>
        <v>1.3828425096030832</v>
      </c>
    </row>
    <row r="395" spans="1:3" x14ac:dyDescent="0.3">
      <c r="A395" s="6" t="s">
        <v>394</v>
      </c>
      <c r="B395" s="10">
        <v>5.5542999999999996</v>
      </c>
      <c r="C395" s="7">
        <f t="shared" si="6"/>
        <v>0.21109226716702228</v>
      </c>
    </row>
    <row r="396" spans="1:3" x14ac:dyDescent="0.3">
      <c r="A396" s="6" t="s">
        <v>395</v>
      </c>
      <c r="B396" s="10">
        <v>5.5598000000000001</v>
      </c>
      <c r="C396" s="7">
        <f t="shared" si="6"/>
        <v>9.9022379057676135E-2</v>
      </c>
    </row>
    <row r="397" spans="1:3" x14ac:dyDescent="0.3">
      <c r="A397" s="6" t="s">
        <v>396</v>
      </c>
      <c r="B397" s="10">
        <v>5.5807000000000002</v>
      </c>
      <c r="C397" s="7">
        <f t="shared" si="6"/>
        <v>0.37591280261880178</v>
      </c>
    </row>
    <row r="398" spans="1:3" x14ac:dyDescent="0.3">
      <c r="A398" s="6" t="s">
        <v>397</v>
      </c>
      <c r="B398" s="10">
        <v>5.6345999999999998</v>
      </c>
      <c r="C398" s="7">
        <f t="shared" si="6"/>
        <v>0.96582865948715413</v>
      </c>
    </row>
    <row r="399" spans="1:3" x14ac:dyDescent="0.3">
      <c r="A399" s="6" t="s">
        <v>398</v>
      </c>
      <c r="B399" s="10">
        <v>5.6402000000000001</v>
      </c>
      <c r="C399" s="7">
        <f t="shared" si="6"/>
        <v>9.9385936889934898E-2</v>
      </c>
    </row>
    <row r="400" spans="1:3" x14ac:dyDescent="0.3">
      <c r="A400" s="6" t="s">
        <v>399</v>
      </c>
      <c r="B400" s="10">
        <v>5.6464999999999996</v>
      </c>
      <c r="C400" s="7">
        <f t="shared" si="6"/>
        <v>0.11169816673166783</v>
      </c>
    </row>
    <row r="401" spans="1:3" x14ac:dyDescent="0.3">
      <c r="A401" s="6" t="s">
        <v>400</v>
      </c>
      <c r="B401" s="10">
        <v>5.6478999999999999</v>
      </c>
      <c r="C401" s="7">
        <f t="shared" si="6"/>
        <v>2.4794120251488354E-2</v>
      </c>
    </row>
    <row r="402" spans="1:3" x14ac:dyDescent="0.3">
      <c r="A402" s="6" t="s">
        <v>401</v>
      </c>
      <c r="B402" s="10">
        <v>5.6532</v>
      </c>
      <c r="C402" s="7">
        <f t="shared" si="6"/>
        <v>9.3840188388606069E-2</v>
      </c>
    </row>
    <row r="403" spans="1:3" x14ac:dyDescent="0.3">
      <c r="A403" s="6" t="s">
        <v>402</v>
      </c>
      <c r="B403" s="10">
        <v>5.6620999999999997</v>
      </c>
      <c r="C403" s="7">
        <f t="shared" si="6"/>
        <v>0.15743295832448323</v>
      </c>
    </row>
    <row r="404" spans="1:3" x14ac:dyDescent="0.3">
      <c r="A404" s="6" t="s">
        <v>403</v>
      </c>
      <c r="B404" s="10">
        <v>5.6680999999999999</v>
      </c>
      <c r="C404" s="7">
        <f t="shared" si="6"/>
        <v>0.10596775048127421</v>
      </c>
    </row>
    <row r="405" spans="1:3" x14ac:dyDescent="0.3">
      <c r="A405" s="6" t="s">
        <v>404</v>
      </c>
      <c r="B405" s="10">
        <v>5.7366000000000001</v>
      </c>
      <c r="C405" s="7">
        <f t="shared" si="6"/>
        <v>1.2085178454861458</v>
      </c>
    </row>
    <row r="406" spans="1:3" x14ac:dyDescent="0.3">
      <c r="A406" s="6" t="s">
        <v>405</v>
      </c>
      <c r="B406" s="10">
        <v>5.7645999999999997</v>
      </c>
      <c r="C406" s="7">
        <f t="shared" si="6"/>
        <v>0.48809399295749362</v>
      </c>
    </row>
    <row r="407" spans="1:3" x14ac:dyDescent="0.3">
      <c r="A407" s="6" t="s">
        <v>406</v>
      </c>
      <c r="B407" s="10">
        <v>5.6528</v>
      </c>
      <c r="C407" s="7">
        <f t="shared" si="6"/>
        <v>-1.9394233771640648</v>
      </c>
    </row>
    <row r="408" spans="1:3" x14ac:dyDescent="0.3">
      <c r="A408" s="6" t="s">
        <v>407</v>
      </c>
      <c r="B408" s="10">
        <v>5.6093000000000002</v>
      </c>
      <c r="C408" s="7">
        <f t="shared" si="6"/>
        <v>-0.76953014435323863</v>
      </c>
    </row>
    <row r="409" spans="1:3" x14ac:dyDescent="0.3">
      <c r="A409" s="6" t="s">
        <v>408</v>
      </c>
      <c r="B409" s="10">
        <v>5.6172000000000004</v>
      </c>
      <c r="C409" s="7">
        <f t="shared" si="6"/>
        <v>0.14083753766067497</v>
      </c>
    </row>
    <row r="410" spans="1:3" x14ac:dyDescent="0.3">
      <c r="A410" s="6" t="s">
        <v>409</v>
      </c>
      <c r="B410" s="10">
        <v>5.5114999999999998</v>
      </c>
      <c r="C410" s="7">
        <f t="shared" si="6"/>
        <v>-1.881720430107537</v>
      </c>
    </row>
    <row r="411" spans="1:3" x14ac:dyDescent="0.3">
      <c r="A411" s="6" t="s">
        <v>410</v>
      </c>
      <c r="B411" s="10">
        <v>5.4911000000000003</v>
      </c>
      <c r="C411" s="7">
        <f t="shared" si="6"/>
        <v>-0.37013517191326373</v>
      </c>
    </row>
    <row r="412" spans="1:3" x14ac:dyDescent="0.3">
      <c r="A412" s="6" t="s">
        <v>411</v>
      </c>
      <c r="B412" s="10">
        <v>5.4874999999999998</v>
      </c>
      <c r="C412" s="7">
        <f t="shared" si="6"/>
        <v>-6.5560634481260441E-2</v>
      </c>
    </row>
    <row r="413" spans="1:3" x14ac:dyDescent="0.3">
      <c r="A413" s="6" t="s">
        <v>412</v>
      </c>
      <c r="B413" s="10">
        <v>5.4501999999999997</v>
      </c>
      <c r="C413" s="7">
        <f t="shared" si="6"/>
        <v>-0.67972665148063982</v>
      </c>
    </row>
    <row r="414" spans="1:3" x14ac:dyDescent="0.3">
      <c r="A414" s="6" t="s">
        <v>413</v>
      </c>
      <c r="B414" s="10">
        <v>5.4650999999999996</v>
      </c>
      <c r="C414" s="7">
        <f t="shared" si="6"/>
        <v>0.2733844629554863</v>
      </c>
    </row>
    <row r="415" spans="1:3" x14ac:dyDescent="0.3">
      <c r="A415" s="6" t="s">
        <v>414</v>
      </c>
      <c r="B415" s="10">
        <v>5.4631999999999996</v>
      </c>
      <c r="C415" s="7">
        <f t="shared" si="6"/>
        <v>-3.476606100528834E-2</v>
      </c>
    </row>
    <row r="416" spans="1:3" x14ac:dyDescent="0.3">
      <c r="A416" s="6" t="s">
        <v>415</v>
      </c>
      <c r="B416" s="10">
        <v>5.4237000000000002</v>
      </c>
      <c r="C416" s="7">
        <f t="shared" si="6"/>
        <v>-0.72301947576510883</v>
      </c>
    </row>
    <row r="417" spans="1:3" x14ac:dyDescent="0.3">
      <c r="A417" s="6" t="s">
        <v>416</v>
      </c>
      <c r="B417" s="10">
        <v>5.4546999999999999</v>
      </c>
      <c r="C417" s="7">
        <f t="shared" si="6"/>
        <v>0.57156553644190666</v>
      </c>
    </row>
    <row r="418" spans="1:3" x14ac:dyDescent="0.3">
      <c r="A418" s="6" t="s">
        <v>417</v>
      </c>
      <c r="B418" s="10">
        <v>5.4706999999999999</v>
      </c>
      <c r="C418" s="7">
        <f t="shared" si="6"/>
        <v>0.29332502245769732</v>
      </c>
    </row>
    <row r="419" spans="1:3" x14ac:dyDescent="0.3">
      <c r="A419" s="6" t="s">
        <v>418</v>
      </c>
      <c r="B419" s="10">
        <v>5.5523999999999996</v>
      </c>
      <c r="C419" s="7">
        <f t="shared" si="6"/>
        <v>1.4934103496810218</v>
      </c>
    </row>
    <row r="420" spans="1:3" x14ac:dyDescent="0.3">
      <c r="A420" s="6" t="s">
        <v>419</v>
      </c>
      <c r="B420" s="10">
        <v>5.5263</v>
      </c>
      <c r="C420" s="7">
        <f t="shared" si="6"/>
        <v>-0.47006699805488739</v>
      </c>
    </row>
    <row r="421" spans="1:3" x14ac:dyDescent="0.3">
      <c r="A421" s="6" t="s">
        <v>420</v>
      </c>
      <c r="B421" s="10">
        <v>5.4920999999999998</v>
      </c>
      <c r="C421" s="7">
        <f t="shared" si="6"/>
        <v>-0.61885891102546431</v>
      </c>
    </row>
    <row r="422" spans="1:3" x14ac:dyDescent="0.3">
      <c r="A422" s="6" t="s">
        <v>421</v>
      </c>
      <c r="B422" s="10">
        <v>5.4969000000000001</v>
      </c>
      <c r="C422" s="7">
        <f t="shared" si="6"/>
        <v>8.7398262959530224E-2</v>
      </c>
    </row>
    <row r="423" spans="1:3" x14ac:dyDescent="0.3">
      <c r="A423" s="6" t="s">
        <v>422</v>
      </c>
      <c r="B423" s="10">
        <v>5.5315000000000003</v>
      </c>
      <c r="C423" s="7">
        <f t="shared" si="6"/>
        <v>0.6294456875693607</v>
      </c>
    </row>
    <row r="424" spans="1:3" x14ac:dyDescent="0.3">
      <c r="A424" s="6" t="s">
        <v>423</v>
      </c>
      <c r="B424" s="10">
        <v>5.6357999999999997</v>
      </c>
      <c r="C424" s="7">
        <f t="shared" si="6"/>
        <v>1.8855644942601353</v>
      </c>
    </row>
    <row r="425" spans="1:3" x14ac:dyDescent="0.3">
      <c r="A425" s="6" t="s">
        <v>424</v>
      </c>
      <c r="B425" s="10">
        <v>5.6562000000000001</v>
      </c>
      <c r="C425" s="7">
        <f t="shared" si="6"/>
        <v>0.36197168103907906</v>
      </c>
    </row>
    <row r="426" spans="1:3" x14ac:dyDescent="0.3">
      <c r="A426" s="6" t="s">
        <v>425</v>
      </c>
      <c r="B426" s="10">
        <v>5.6230000000000002</v>
      </c>
      <c r="C426" s="7">
        <f t="shared" si="6"/>
        <v>-0.58696651462112193</v>
      </c>
    </row>
    <row r="427" spans="1:3" x14ac:dyDescent="0.3">
      <c r="A427" s="6" t="s">
        <v>426</v>
      </c>
      <c r="B427" s="10">
        <v>5.6223999999999998</v>
      </c>
      <c r="C427" s="7">
        <f t="shared" si="6"/>
        <v>-1.0670460608222977E-2</v>
      </c>
    </row>
    <row r="428" spans="1:3" x14ac:dyDescent="0.3">
      <c r="A428" s="6" t="s">
        <v>427</v>
      </c>
      <c r="B428" s="10">
        <v>5.6359000000000004</v>
      </c>
      <c r="C428" s="7">
        <f t="shared" si="6"/>
        <v>0.24011098463290609</v>
      </c>
    </row>
    <row r="429" spans="1:3" x14ac:dyDescent="0.3">
      <c r="A429" s="6" t="s">
        <v>428</v>
      </c>
      <c r="B429" s="10">
        <v>5.6048999999999998</v>
      </c>
      <c r="C429" s="7">
        <f t="shared" si="6"/>
        <v>-0.55004524565731439</v>
      </c>
    </row>
    <row r="430" spans="1:3" x14ac:dyDescent="0.3">
      <c r="A430" s="6" t="s">
        <v>429</v>
      </c>
      <c r="B430" s="10">
        <v>5.5701999999999998</v>
      </c>
      <c r="C430" s="7">
        <f t="shared" si="6"/>
        <v>-0.6191011436421695</v>
      </c>
    </row>
    <row r="431" spans="1:3" x14ac:dyDescent="0.3">
      <c r="A431" s="6" t="s">
        <v>430</v>
      </c>
      <c r="B431" s="10">
        <v>5.6097000000000001</v>
      </c>
      <c r="C431" s="7">
        <f t="shared" si="6"/>
        <v>0.70913073139205618</v>
      </c>
    </row>
    <row r="432" spans="1:3" x14ac:dyDescent="0.3">
      <c r="A432" s="6" t="s">
        <v>431</v>
      </c>
      <c r="B432" s="10">
        <v>5.6254</v>
      </c>
      <c r="C432" s="7">
        <f t="shared" si="6"/>
        <v>0.2798723639410276</v>
      </c>
    </row>
    <row r="433" spans="1:3" x14ac:dyDescent="0.3">
      <c r="A433" s="6" t="s">
        <v>432</v>
      </c>
      <c r="B433" s="10">
        <v>5.6387</v>
      </c>
      <c r="C433" s="7">
        <f t="shared" si="6"/>
        <v>0.23642763181285048</v>
      </c>
    </row>
    <row r="434" spans="1:3" x14ac:dyDescent="0.3">
      <c r="A434" s="6" t="s">
        <v>433</v>
      </c>
      <c r="B434" s="10">
        <v>5.6554000000000002</v>
      </c>
      <c r="C434" s="7">
        <f t="shared" si="6"/>
        <v>0.29616755635164416</v>
      </c>
    </row>
    <row r="435" spans="1:3" x14ac:dyDescent="0.3">
      <c r="A435" s="6" t="s">
        <v>434</v>
      </c>
      <c r="B435" s="10">
        <v>5.5716999999999999</v>
      </c>
      <c r="C435" s="7">
        <f t="shared" si="6"/>
        <v>-1.480001414577224</v>
      </c>
    </row>
    <row r="436" spans="1:3" x14ac:dyDescent="0.3">
      <c r="A436" s="6" t="s">
        <v>435</v>
      </c>
      <c r="B436" s="10">
        <v>5.5206999999999997</v>
      </c>
      <c r="C436" s="7">
        <f t="shared" si="6"/>
        <v>-0.91534002189637198</v>
      </c>
    </row>
    <row r="437" spans="1:3" x14ac:dyDescent="0.3">
      <c r="A437" s="6" t="s">
        <v>436</v>
      </c>
      <c r="B437" s="10">
        <v>5.5010000000000003</v>
      </c>
      <c r="C437" s="7">
        <f t="shared" si="6"/>
        <v>-0.35683880667305568</v>
      </c>
    </row>
    <row r="438" spans="1:3" x14ac:dyDescent="0.3">
      <c r="A438" s="6" t="s">
        <v>437</v>
      </c>
      <c r="B438" s="10">
        <v>5.4767000000000001</v>
      </c>
      <c r="C438" s="7">
        <f t="shared" si="6"/>
        <v>-0.4417378658425779</v>
      </c>
    </row>
    <row r="439" spans="1:3" x14ac:dyDescent="0.3">
      <c r="A439" s="6" t="s">
        <v>438</v>
      </c>
      <c r="B439" s="10">
        <v>5.4188999999999998</v>
      </c>
      <c r="C439" s="7">
        <f t="shared" si="6"/>
        <v>-1.0553800646374696</v>
      </c>
    </row>
    <row r="440" spans="1:3" x14ac:dyDescent="0.3">
      <c r="A440" s="6" t="s">
        <v>439</v>
      </c>
      <c r="B440" s="10">
        <v>5.4775</v>
      </c>
      <c r="C440" s="7">
        <f t="shared" si="6"/>
        <v>1.0814002841905221</v>
      </c>
    </row>
    <row r="441" spans="1:3" x14ac:dyDescent="0.3">
      <c r="A441" s="6" t="s">
        <v>440</v>
      </c>
      <c r="B441" s="10">
        <v>5.5446</v>
      </c>
      <c r="C441" s="7">
        <f t="shared" si="6"/>
        <v>1.2250114103149234</v>
      </c>
    </row>
    <row r="442" spans="1:3" x14ac:dyDescent="0.3">
      <c r="A442" s="6" t="s">
        <v>441</v>
      </c>
      <c r="B442" s="10">
        <v>5.4702000000000002</v>
      </c>
      <c r="C442" s="7">
        <f t="shared" si="6"/>
        <v>-1.3418461205497203</v>
      </c>
    </row>
    <row r="443" spans="1:3" x14ac:dyDescent="0.3">
      <c r="A443" s="6" t="s">
        <v>442</v>
      </c>
      <c r="B443" s="10">
        <v>5.4736000000000002</v>
      </c>
      <c r="C443" s="7">
        <f t="shared" si="6"/>
        <v>6.215494863076431E-2</v>
      </c>
    </row>
    <row r="444" spans="1:3" x14ac:dyDescent="0.3">
      <c r="A444" s="6" t="s">
        <v>443</v>
      </c>
      <c r="B444" s="10">
        <v>5.4412000000000003</v>
      </c>
      <c r="C444" s="7">
        <f t="shared" si="6"/>
        <v>-0.59193218357205468</v>
      </c>
    </row>
    <row r="445" spans="1:3" x14ac:dyDescent="0.3">
      <c r="A445" s="6" t="s">
        <v>444</v>
      </c>
      <c r="B445" s="10">
        <v>5.4431000000000003</v>
      </c>
      <c r="C445" s="7">
        <f t="shared" si="6"/>
        <v>3.4918767918841666E-2</v>
      </c>
    </row>
    <row r="446" spans="1:3" x14ac:dyDescent="0.3">
      <c r="A446" s="6" t="s">
        <v>445</v>
      </c>
      <c r="B446" s="10">
        <v>5.4481000000000002</v>
      </c>
      <c r="C446" s="7">
        <f t="shared" si="6"/>
        <v>9.185941834616107E-2</v>
      </c>
    </row>
    <row r="447" spans="1:3" x14ac:dyDescent="0.3">
      <c r="A447" s="6" t="s">
        <v>446</v>
      </c>
      <c r="B447" s="10">
        <v>5.4520999999999997</v>
      </c>
      <c r="C447" s="7">
        <f t="shared" si="6"/>
        <v>7.3420091408005719E-2</v>
      </c>
    </row>
    <row r="448" spans="1:3" x14ac:dyDescent="0.3">
      <c r="A448" s="6" t="s">
        <v>447</v>
      </c>
      <c r="B448" s="10">
        <v>5.4305000000000003</v>
      </c>
      <c r="C448" s="7">
        <f t="shared" si="6"/>
        <v>-0.39617761963279097</v>
      </c>
    </row>
    <row r="449" spans="1:3" x14ac:dyDescent="0.3">
      <c r="A449" s="6" t="s">
        <v>448</v>
      </c>
      <c r="B449" s="10">
        <v>5.4850000000000003</v>
      </c>
      <c r="C449" s="7">
        <f t="shared" si="6"/>
        <v>1.0035908295737039</v>
      </c>
    </row>
    <row r="450" spans="1:3" x14ac:dyDescent="0.3">
      <c r="A450" s="6" t="s">
        <v>449</v>
      </c>
      <c r="B450" s="10">
        <v>5.4686000000000003</v>
      </c>
      <c r="C450" s="7">
        <f t="shared" si="6"/>
        <v>-0.29899726526891468</v>
      </c>
    </row>
    <row r="451" spans="1:3" x14ac:dyDescent="0.3">
      <c r="A451" s="6" t="s">
        <v>450</v>
      </c>
      <c r="B451" s="10">
        <v>5.4626000000000001</v>
      </c>
      <c r="C451" s="7">
        <f t="shared" si="6"/>
        <v>-0.10971729510295554</v>
      </c>
    </row>
    <row r="452" spans="1:3" x14ac:dyDescent="0.3">
      <c r="A452" s="6" t="s">
        <v>451</v>
      </c>
      <c r="B452" s="10">
        <v>5.5197000000000003</v>
      </c>
      <c r="C452" s="7">
        <f t="shared" si="6"/>
        <v>1.0452897887452888</v>
      </c>
    </row>
    <row r="453" spans="1:3" x14ac:dyDescent="0.3">
      <c r="A453" s="6" t="s">
        <v>452</v>
      </c>
      <c r="B453" s="10">
        <v>5.5736999999999997</v>
      </c>
      <c r="C453" s="7">
        <f t="shared" si="6"/>
        <v>0.97831403880644563</v>
      </c>
    </row>
    <row r="454" spans="1:3" x14ac:dyDescent="0.3">
      <c r="A454" s="6" t="s">
        <v>453</v>
      </c>
      <c r="B454" s="10">
        <v>5.5819000000000001</v>
      </c>
      <c r="C454" s="7">
        <f t="shared" si="6"/>
        <v>0.14711950768789905</v>
      </c>
    </row>
    <row r="455" spans="1:3" x14ac:dyDescent="0.3">
      <c r="A455" s="6" t="s">
        <v>454</v>
      </c>
      <c r="B455" s="10">
        <v>5.6262999999999996</v>
      </c>
      <c r="C455" s="7">
        <f t="shared" si="6"/>
        <v>0.79542808004442123</v>
      </c>
    </row>
    <row r="456" spans="1:3" x14ac:dyDescent="0.3">
      <c r="A456" s="6" t="s">
        <v>455</v>
      </c>
      <c r="B456" s="10">
        <v>5.6044999999999998</v>
      </c>
      <c r="C456" s="7">
        <f t="shared" si="6"/>
        <v>-0.38746600785595903</v>
      </c>
    </row>
    <row r="457" spans="1:3" x14ac:dyDescent="0.3">
      <c r="A457" s="6" t="s">
        <v>456</v>
      </c>
      <c r="B457" s="10">
        <v>5.6378000000000004</v>
      </c>
      <c r="C457" s="7">
        <f t="shared" ref="C457:C520" si="7">(B457-B456)/B456*100</f>
        <v>0.59416540280133023</v>
      </c>
    </row>
    <row r="458" spans="1:3" x14ac:dyDescent="0.3">
      <c r="A458" s="6" t="s">
        <v>457</v>
      </c>
      <c r="B458" s="10">
        <v>5.6749000000000001</v>
      </c>
      <c r="C458" s="7">
        <f t="shared" si="7"/>
        <v>0.65805810777252982</v>
      </c>
    </row>
    <row r="459" spans="1:3" x14ac:dyDescent="0.3">
      <c r="A459" s="6" t="s">
        <v>458</v>
      </c>
      <c r="B459" s="10">
        <v>5.6757999999999997</v>
      </c>
      <c r="C459" s="7">
        <f t="shared" si="7"/>
        <v>1.5859310296211016E-2</v>
      </c>
    </row>
    <row r="460" spans="1:3" x14ac:dyDescent="0.3">
      <c r="A460" s="6" t="s">
        <v>459</v>
      </c>
      <c r="B460" s="10">
        <v>5.6672000000000002</v>
      </c>
      <c r="C460" s="7">
        <f t="shared" si="7"/>
        <v>-0.1515204905035325</v>
      </c>
    </row>
    <row r="461" spans="1:3" x14ac:dyDescent="0.3">
      <c r="A461" s="6" t="s">
        <v>460</v>
      </c>
      <c r="B461" s="10">
        <v>5.7068000000000003</v>
      </c>
      <c r="C461" s="7">
        <f t="shared" si="7"/>
        <v>0.69875776397515665</v>
      </c>
    </row>
    <row r="462" spans="1:3" x14ac:dyDescent="0.3">
      <c r="A462" s="6" t="s">
        <v>461</v>
      </c>
      <c r="B462" s="10">
        <v>5.6958000000000002</v>
      </c>
      <c r="C462" s="7">
        <f t="shared" si="7"/>
        <v>-0.19275250578257727</v>
      </c>
    </row>
    <row r="463" spans="1:3" x14ac:dyDescent="0.3">
      <c r="A463" s="6" t="s">
        <v>462</v>
      </c>
      <c r="B463" s="10">
        <v>5.7149000000000001</v>
      </c>
      <c r="C463" s="7">
        <f t="shared" si="7"/>
        <v>0.33533480810421529</v>
      </c>
    </row>
    <row r="464" spans="1:3" x14ac:dyDescent="0.3">
      <c r="A464" s="6" t="s">
        <v>463</v>
      </c>
      <c r="B464" s="10">
        <v>5.7087000000000003</v>
      </c>
      <c r="C464" s="7">
        <f t="shared" si="7"/>
        <v>-0.10848833750371417</v>
      </c>
    </row>
    <row r="465" spans="1:3" x14ac:dyDescent="0.3">
      <c r="A465" s="6" t="s">
        <v>464</v>
      </c>
      <c r="B465" s="10">
        <v>5.6969000000000003</v>
      </c>
      <c r="C465" s="7">
        <f t="shared" si="7"/>
        <v>-0.20670205125510244</v>
      </c>
    </row>
    <row r="466" spans="1:3" x14ac:dyDescent="0.3">
      <c r="A466" s="6" t="s">
        <v>465</v>
      </c>
      <c r="B466" s="10">
        <v>5.6988000000000003</v>
      </c>
      <c r="C466" s="7">
        <f t="shared" si="7"/>
        <v>3.3351471853113317E-2</v>
      </c>
    </row>
    <row r="467" spans="1:3" x14ac:dyDescent="0.3">
      <c r="A467" s="6" t="s">
        <v>466</v>
      </c>
      <c r="B467" s="10">
        <v>5.7140000000000004</v>
      </c>
      <c r="C467" s="7">
        <f t="shared" si="7"/>
        <v>0.26672281883905558</v>
      </c>
    </row>
    <row r="468" spans="1:3" x14ac:dyDescent="0.3">
      <c r="A468" s="6" t="s">
        <v>467</v>
      </c>
      <c r="B468" s="10">
        <v>5.7801</v>
      </c>
      <c r="C468" s="7">
        <f t="shared" si="7"/>
        <v>1.1568078403920126</v>
      </c>
    </row>
    <row r="469" spans="1:3" x14ac:dyDescent="0.3">
      <c r="A469" s="6" t="s">
        <v>468</v>
      </c>
      <c r="B469" s="10">
        <v>5.7778999999999998</v>
      </c>
      <c r="C469" s="7">
        <f t="shared" si="7"/>
        <v>-3.8061625231400872E-2</v>
      </c>
    </row>
    <row r="470" spans="1:3" x14ac:dyDescent="0.3">
      <c r="A470" s="6" t="s">
        <v>469</v>
      </c>
      <c r="B470" s="10">
        <v>5.8072999999999997</v>
      </c>
      <c r="C470" s="7">
        <f t="shared" si="7"/>
        <v>0.50883539002059353</v>
      </c>
    </row>
    <row r="471" spans="1:3" x14ac:dyDescent="0.3">
      <c r="A471" s="6" t="s">
        <v>470</v>
      </c>
      <c r="B471" s="10">
        <v>5.7897999999999996</v>
      </c>
      <c r="C471" s="7">
        <f t="shared" si="7"/>
        <v>-0.30134485905670572</v>
      </c>
    </row>
    <row r="472" spans="1:3" x14ac:dyDescent="0.3">
      <c r="A472" s="6" t="s">
        <v>471</v>
      </c>
      <c r="B472" s="10">
        <v>5.7846000000000002</v>
      </c>
      <c r="C472" s="7">
        <f t="shared" si="7"/>
        <v>-8.9813119624156751E-2</v>
      </c>
    </row>
    <row r="473" spans="1:3" x14ac:dyDescent="0.3">
      <c r="A473" s="6" t="s">
        <v>472</v>
      </c>
      <c r="B473" s="10">
        <v>5.7648000000000001</v>
      </c>
      <c r="C473" s="7">
        <f t="shared" si="7"/>
        <v>-0.34228814438336341</v>
      </c>
    </row>
    <row r="474" spans="1:3" x14ac:dyDescent="0.3">
      <c r="A474" s="6" t="s">
        <v>473</v>
      </c>
      <c r="B474" s="10">
        <v>5.6623999999999999</v>
      </c>
      <c r="C474" s="7">
        <f t="shared" si="7"/>
        <v>-1.7762975298362522</v>
      </c>
    </row>
    <row r="475" spans="1:3" x14ac:dyDescent="0.3">
      <c r="A475" s="6" t="s">
        <v>474</v>
      </c>
      <c r="B475" s="10">
        <v>5.7648000000000001</v>
      </c>
      <c r="C475" s="7">
        <f t="shared" si="7"/>
        <v>1.8084204577564333</v>
      </c>
    </row>
    <row r="476" spans="1:3" x14ac:dyDescent="0.3">
      <c r="A476" s="6" t="s">
        <v>475</v>
      </c>
      <c r="B476" s="10">
        <v>5.798</v>
      </c>
      <c r="C476" s="7">
        <f t="shared" si="7"/>
        <v>0.57590896475159403</v>
      </c>
    </row>
    <row r="477" spans="1:3" x14ac:dyDescent="0.3">
      <c r="A477" s="6" t="s">
        <v>476</v>
      </c>
      <c r="B477" s="10">
        <v>5.7694000000000001</v>
      </c>
      <c r="C477" s="7">
        <f t="shared" si="7"/>
        <v>-0.49327354260089612</v>
      </c>
    </row>
    <row r="478" spans="1:3" x14ac:dyDescent="0.3">
      <c r="A478" s="6" t="s">
        <v>477</v>
      </c>
      <c r="B478" s="10">
        <v>5.7713000000000001</v>
      </c>
      <c r="C478" s="7">
        <f t="shared" si="7"/>
        <v>3.2932367317225583E-2</v>
      </c>
    </row>
    <row r="479" spans="1:3" x14ac:dyDescent="0.3">
      <c r="A479" s="6" t="s">
        <v>478</v>
      </c>
      <c r="B479" s="10">
        <v>5.7885</v>
      </c>
      <c r="C479" s="7">
        <f t="shared" si="7"/>
        <v>0.29802644118309357</v>
      </c>
    </row>
    <row r="480" spans="1:3" x14ac:dyDescent="0.3">
      <c r="A480" s="6" t="s">
        <v>479</v>
      </c>
      <c r="B480" s="10">
        <v>5.7603</v>
      </c>
      <c r="C480" s="7">
        <f t="shared" si="7"/>
        <v>-0.4871728427053641</v>
      </c>
    </row>
    <row r="481" spans="1:3" x14ac:dyDescent="0.3">
      <c r="A481" s="6" t="s">
        <v>480</v>
      </c>
      <c r="B481" s="10">
        <v>5.7743000000000002</v>
      </c>
      <c r="C481" s="7">
        <f t="shared" si="7"/>
        <v>0.24304289707133717</v>
      </c>
    </row>
    <row r="482" spans="1:3" x14ac:dyDescent="0.3">
      <c r="A482" s="6" t="s">
        <v>481</v>
      </c>
      <c r="B482" s="10">
        <v>5.8173000000000004</v>
      </c>
      <c r="C482" s="7">
        <f t="shared" si="7"/>
        <v>0.74467900871101511</v>
      </c>
    </row>
    <row r="483" spans="1:3" x14ac:dyDescent="0.3">
      <c r="A483" s="6" t="s">
        <v>482</v>
      </c>
      <c r="B483" s="10">
        <v>5.8124000000000002</v>
      </c>
      <c r="C483" s="7">
        <f t="shared" si="7"/>
        <v>-8.4231516339197329E-2</v>
      </c>
    </row>
    <row r="484" spans="1:3" x14ac:dyDescent="0.3">
      <c r="A484" s="6" t="s">
        <v>483</v>
      </c>
      <c r="B484" s="10">
        <v>5.8002000000000002</v>
      </c>
      <c r="C484" s="7">
        <f t="shared" si="7"/>
        <v>-0.20989608423370704</v>
      </c>
    </row>
    <row r="485" spans="1:3" x14ac:dyDescent="0.3">
      <c r="A485" s="6" t="s">
        <v>484</v>
      </c>
      <c r="B485" s="10">
        <v>5.7990000000000004</v>
      </c>
      <c r="C485" s="7">
        <f t="shared" si="7"/>
        <v>-2.0688941760626665E-2</v>
      </c>
    </row>
    <row r="486" spans="1:3" x14ac:dyDescent="0.3">
      <c r="A486" s="6" t="s">
        <v>485</v>
      </c>
      <c r="B486" s="10">
        <v>5.8291000000000004</v>
      </c>
      <c r="C486" s="7">
        <f t="shared" si="7"/>
        <v>0.51905500948439409</v>
      </c>
    </row>
    <row r="487" spans="1:3" x14ac:dyDescent="0.3">
      <c r="A487" s="6" t="s">
        <v>486</v>
      </c>
      <c r="B487" s="10">
        <v>5.9870999999999999</v>
      </c>
      <c r="C487" s="7">
        <f t="shared" si="7"/>
        <v>2.7105385050865394</v>
      </c>
    </row>
    <row r="488" spans="1:3" x14ac:dyDescent="0.3">
      <c r="A488" s="6" t="s">
        <v>487</v>
      </c>
      <c r="B488" s="10">
        <v>6.0534999999999997</v>
      </c>
      <c r="C488" s="7">
        <f t="shared" si="7"/>
        <v>1.1090511265888292</v>
      </c>
    </row>
    <row r="489" spans="1:3" x14ac:dyDescent="0.3">
      <c r="A489" s="6" t="s">
        <v>488</v>
      </c>
      <c r="B489" s="10">
        <v>6.0633999999999997</v>
      </c>
      <c r="C489" s="7">
        <f t="shared" si="7"/>
        <v>0.16354175270504701</v>
      </c>
    </row>
    <row r="490" spans="1:3" x14ac:dyDescent="0.3">
      <c r="A490" s="6" t="s">
        <v>489</v>
      </c>
      <c r="B490" s="10">
        <v>6.0707000000000004</v>
      </c>
      <c r="C490" s="7">
        <f t="shared" si="7"/>
        <v>0.12039449813637151</v>
      </c>
    </row>
    <row r="491" spans="1:3" x14ac:dyDescent="0.3">
      <c r="A491" s="6" t="s">
        <v>490</v>
      </c>
      <c r="B491" s="10">
        <v>6.0580999999999996</v>
      </c>
      <c r="C491" s="7">
        <f t="shared" si="7"/>
        <v>-0.20755431828291354</v>
      </c>
    </row>
    <row r="492" spans="1:3" x14ac:dyDescent="0.3">
      <c r="A492" s="6" t="s">
        <v>491</v>
      </c>
      <c r="B492" s="10">
        <v>5.9848999999999997</v>
      </c>
      <c r="C492" s="7">
        <f t="shared" si="7"/>
        <v>-1.2082996318977886</v>
      </c>
    </row>
    <row r="493" spans="1:3" x14ac:dyDescent="0.3">
      <c r="A493" s="6" t="s">
        <v>492</v>
      </c>
      <c r="B493" s="10">
        <v>6.0293000000000001</v>
      </c>
      <c r="C493" s="7">
        <f t="shared" si="7"/>
        <v>0.74186703203061777</v>
      </c>
    </row>
    <row r="494" spans="1:3" x14ac:dyDescent="0.3">
      <c r="A494" s="6" t="s">
        <v>493</v>
      </c>
      <c r="B494" s="10">
        <v>6.0570000000000004</v>
      </c>
      <c r="C494" s="7">
        <f t="shared" si="7"/>
        <v>0.45942315028279035</v>
      </c>
    </row>
    <row r="495" spans="1:3" x14ac:dyDescent="0.3">
      <c r="A495" s="6" t="s">
        <v>494</v>
      </c>
      <c r="B495" s="10">
        <v>6.0529000000000002</v>
      </c>
      <c r="C495" s="7">
        <f t="shared" si="7"/>
        <v>-6.7690275714053408E-2</v>
      </c>
    </row>
    <row r="496" spans="1:3" x14ac:dyDescent="0.3">
      <c r="A496" s="6" t="s">
        <v>495</v>
      </c>
      <c r="B496" s="10">
        <v>6.032</v>
      </c>
      <c r="C496" s="7">
        <f t="shared" si="7"/>
        <v>-0.345289035008015</v>
      </c>
    </row>
    <row r="497" spans="1:3" x14ac:dyDescent="0.3">
      <c r="A497" s="6" t="s">
        <v>496</v>
      </c>
      <c r="B497" s="10">
        <v>5.9408000000000003</v>
      </c>
      <c r="C497" s="7">
        <f t="shared" si="7"/>
        <v>-1.5119363395225418</v>
      </c>
    </row>
    <row r="498" spans="1:3" x14ac:dyDescent="0.3">
      <c r="A498" s="6" t="s">
        <v>497</v>
      </c>
      <c r="B498" s="10">
        <v>6.04</v>
      </c>
      <c r="C498" s="7">
        <f t="shared" si="7"/>
        <v>1.66980877996229</v>
      </c>
    </row>
    <row r="499" spans="1:3" x14ac:dyDescent="0.3">
      <c r="A499" s="6" t="s">
        <v>498</v>
      </c>
      <c r="B499" s="10">
        <v>6.0509000000000004</v>
      </c>
      <c r="C499" s="7">
        <f t="shared" si="7"/>
        <v>0.18046357615894626</v>
      </c>
    </row>
    <row r="500" spans="1:3" x14ac:dyDescent="0.3">
      <c r="A500" s="6" t="s">
        <v>499</v>
      </c>
      <c r="B500" s="10">
        <v>6.1684999999999999</v>
      </c>
      <c r="C500" s="7">
        <f t="shared" si="7"/>
        <v>1.9435125353253151</v>
      </c>
    </row>
    <row r="501" spans="1:3" x14ac:dyDescent="0.3">
      <c r="A501" s="6" t="s">
        <v>500</v>
      </c>
      <c r="B501" s="10">
        <v>6.1623999999999999</v>
      </c>
      <c r="C501" s="7">
        <f t="shared" si="7"/>
        <v>-9.8889519332090364E-2</v>
      </c>
    </row>
    <row r="502" spans="1:3" x14ac:dyDescent="0.3">
      <c r="A502" s="6" t="s">
        <v>501</v>
      </c>
      <c r="B502" s="10">
        <v>6.1840999999999999</v>
      </c>
      <c r="C502" s="7">
        <f t="shared" si="7"/>
        <v>0.35213553161106148</v>
      </c>
    </row>
    <row r="503" spans="1:3" x14ac:dyDescent="0.3">
      <c r="A503" s="6" t="s">
        <v>502</v>
      </c>
      <c r="B503" s="10">
        <v>6.0780000000000003</v>
      </c>
      <c r="C503" s="7">
        <f t="shared" si="7"/>
        <v>-1.7156902378680752</v>
      </c>
    </row>
    <row r="504" spans="1:3" x14ac:dyDescent="0.3">
      <c r="A504" s="6" t="s">
        <v>503</v>
      </c>
      <c r="B504" s="10">
        <v>6.1612</v>
      </c>
      <c r="C504" s="7">
        <f t="shared" si="7"/>
        <v>1.3688713392563296</v>
      </c>
    </row>
    <row r="505" spans="1:3" x14ac:dyDescent="0.3">
      <c r="A505" s="6" t="s">
        <v>504</v>
      </c>
      <c r="B505" s="10">
        <v>6.1540999999999997</v>
      </c>
      <c r="C505" s="7">
        <f t="shared" si="7"/>
        <v>-0.11523729143673844</v>
      </c>
    </row>
    <row r="506" spans="1:3" x14ac:dyDescent="0.3">
      <c r="A506" s="6" t="s">
        <v>505</v>
      </c>
      <c r="B506" s="10">
        <v>6.1656000000000004</v>
      </c>
      <c r="C506" s="7">
        <f t="shared" si="7"/>
        <v>0.18686729172422828</v>
      </c>
    </row>
    <row r="507" spans="1:3" x14ac:dyDescent="0.3">
      <c r="A507" s="6" t="s">
        <v>506</v>
      </c>
      <c r="B507" s="10">
        <v>6.1990999999999996</v>
      </c>
      <c r="C507" s="7">
        <f t="shared" si="7"/>
        <v>0.54333722589852074</v>
      </c>
    </row>
    <row r="508" spans="1:3" x14ac:dyDescent="0.3">
      <c r="A508" s="6" t="s">
        <v>507</v>
      </c>
      <c r="B508" s="10">
        <v>6.1923000000000004</v>
      </c>
      <c r="C508" s="7">
        <f t="shared" si="7"/>
        <v>-0.10969334258197565</v>
      </c>
    </row>
    <row r="509" spans="1:3" x14ac:dyDescent="0.3">
      <c r="A509" s="6" t="s">
        <v>508</v>
      </c>
      <c r="B509" s="10">
        <v>6.1923000000000004</v>
      </c>
      <c r="C509" s="7">
        <f t="shared" si="7"/>
        <v>0</v>
      </c>
    </row>
    <row r="510" spans="1:3" x14ac:dyDescent="0.3">
      <c r="A510" s="6" t="s">
        <v>509</v>
      </c>
      <c r="B510" s="10">
        <v>6.2085999999999997</v>
      </c>
      <c r="C510" s="7">
        <f t="shared" si="7"/>
        <v>0.26323014065854877</v>
      </c>
    </row>
    <row r="511" spans="1:3" x14ac:dyDescent="0.3">
      <c r="A511" s="6" t="s">
        <v>510</v>
      </c>
      <c r="B511" s="10">
        <v>6.1562999999999999</v>
      </c>
      <c r="C511" s="7">
        <f t="shared" si="7"/>
        <v>-0.84237992462068401</v>
      </c>
    </row>
    <row r="512" spans="1:3" x14ac:dyDescent="0.3">
      <c r="A512" s="6" t="s">
        <v>511</v>
      </c>
      <c r="B512" s="10">
        <v>6.1119000000000003</v>
      </c>
      <c r="C512" s="7">
        <f t="shared" si="7"/>
        <v>-0.7212124165488939</v>
      </c>
    </row>
    <row r="513" spans="1:3" x14ac:dyDescent="0.3">
      <c r="A513" s="6" t="s">
        <v>512</v>
      </c>
      <c r="B513" s="10">
        <v>6.0740999999999996</v>
      </c>
      <c r="C513" s="7">
        <f t="shared" si="7"/>
        <v>-0.61846561625682228</v>
      </c>
    </row>
    <row r="514" spans="1:3" x14ac:dyDescent="0.3">
      <c r="A514" s="6" t="s">
        <v>513</v>
      </c>
      <c r="B514" s="10">
        <v>6.1321000000000003</v>
      </c>
      <c r="C514" s="7">
        <f t="shared" si="7"/>
        <v>0.9548739730989072</v>
      </c>
    </row>
    <row r="515" spans="1:3" x14ac:dyDescent="0.3">
      <c r="A515" s="6" t="s">
        <v>514</v>
      </c>
      <c r="B515" s="10">
        <v>6.0895999999999999</v>
      </c>
      <c r="C515" s="7">
        <f t="shared" si="7"/>
        <v>-0.69307415078032686</v>
      </c>
    </row>
    <row r="516" spans="1:3" x14ac:dyDescent="0.3">
      <c r="A516" s="6" t="s">
        <v>515</v>
      </c>
      <c r="B516" s="10">
        <v>6.0964999999999998</v>
      </c>
      <c r="C516" s="7">
        <f t="shared" si="7"/>
        <v>0.11330793483972522</v>
      </c>
    </row>
    <row r="517" spans="1:3" x14ac:dyDescent="0.3">
      <c r="A517" s="6" t="s">
        <v>516</v>
      </c>
      <c r="B517" s="10">
        <v>6.1078999999999999</v>
      </c>
      <c r="C517" s="7">
        <f t="shared" si="7"/>
        <v>0.1869925367013873</v>
      </c>
    </row>
    <row r="518" spans="1:3" x14ac:dyDescent="0.3">
      <c r="A518" s="6" t="s">
        <v>517</v>
      </c>
      <c r="B518" s="10">
        <v>6.0670999999999999</v>
      </c>
      <c r="C518" s="7">
        <f t="shared" si="7"/>
        <v>-0.6679873606313127</v>
      </c>
    </row>
    <row r="519" spans="1:3" x14ac:dyDescent="0.3">
      <c r="A519" s="6" t="s">
        <v>518</v>
      </c>
      <c r="B519" s="10">
        <v>6.0377000000000001</v>
      </c>
      <c r="C519" s="7">
        <f t="shared" si="7"/>
        <v>-0.48458077170311797</v>
      </c>
    </row>
    <row r="520" spans="1:3" x14ac:dyDescent="0.3">
      <c r="A520" s="6" t="s">
        <v>519</v>
      </c>
      <c r="B520" s="10">
        <v>6.0321999999999996</v>
      </c>
      <c r="C520" s="7">
        <f t="shared" si="7"/>
        <v>-9.1094290872360401E-2</v>
      </c>
    </row>
    <row r="521" spans="1:3" x14ac:dyDescent="0.3">
      <c r="A521" s="6" t="s">
        <v>520</v>
      </c>
      <c r="B521" s="10">
        <v>6.0609000000000002</v>
      </c>
      <c r="C521" s="7">
        <f t="shared" ref="C521:C584" si="8">(B521-B520)/B520*100</f>
        <v>0.47577998076987854</v>
      </c>
    </row>
    <row r="522" spans="1:3" x14ac:dyDescent="0.3">
      <c r="A522" s="6" t="s">
        <v>521</v>
      </c>
      <c r="B522" s="10">
        <v>6.0498000000000003</v>
      </c>
      <c r="C522" s="7">
        <f t="shared" si="8"/>
        <v>-0.18314111765579183</v>
      </c>
    </row>
    <row r="523" spans="1:3" x14ac:dyDescent="0.3">
      <c r="A523" s="6" t="s">
        <v>522</v>
      </c>
      <c r="B523" s="10">
        <v>6.0439999999999996</v>
      </c>
      <c r="C523" s="7">
        <f t="shared" si="8"/>
        <v>-9.5870937882255494E-2</v>
      </c>
    </row>
    <row r="524" spans="1:3" x14ac:dyDescent="0.3">
      <c r="A524" s="6" t="s">
        <v>523</v>
      </c>
      <c r="B524" s="10">
        <v>5.9673999999999996</v>
      </c>
      <c r="C524" s="7">
        <f t="shared" si="8"/>
        <v>-1.2673726009265389</v>
      </c>
    </row>
    <row r="525" spans="1:3" x14ac:dyDescent="0.3">
      <c r="A525" s="6" t="s">
        <v>524</v>
      </c>
      <c r="B525" s="10">
        <v>5.9398999999999997</v>
      </c>
      <c r="C525" s="7">
        <f t="shared" si="8"/>
        <v>-0.46083721553775281</v>
      </c>
    </row>
    <row r="526" spans="1:3" x14ac:dyDescent="0.3">
      <c r="A526" s="6" t="s">
        <v>525</v>
      </c>
      <c r="B526" s="10">
        <v>5.8925000000000001</v>
      </c>
      <c r="C526" s="7">
        <f t="shared" si="8"/>
        <v>-0.79799323220929086</v>
      </c>
    </row>
    <row r="527" spans="1:3" x14ac:dyDescent="0.3">
      <c r="A527" s="6" t="s">
        <v>526</v>
      </c>
      <c r="B527" s="10">
        <v>5.9272</v>
      </c>
      <c r="C527" s="7">
        <f t="shared" si="8"/>
        <v>0.58888417479847177</v>
      </c>
    </row>
    <row r="528" spans="1:3" x14ac:dyDescent="0.3">
      <c r="A528" s="6" t="s">
        <v>527</v>
      </c>
      <c r="B528" s="10">
        <v>5.8929999999999998</v>
      </c>
      <c r="C528" s="7">
        <f t="shared" si="8"/>
        <v>-0.57700094479687258</v>
      </c>
    </row>
    <row r="529" spans="1:3" x14ac:dyDescent="0.3">
      <c r="A529" s="6" t="s">
        <v>528</v>
      </c>
      <c r="B529" s="10">
        <v>5.8596000000000004</v>
      </c>
      <c r="C529" s="7">
        <f t="shared" si="8"/>
        <v>-0.5667741388087465</v>
      </c>
    </row>
    <row r="530" spans="1:3" x14ac:dyDescent="0.3">
      <c r="A530" s="6" t="s">
        <v>529</v>
      </c>
      <c r="B530" s="10">
        <v>5.9005999999999998</v>
      </c>
      <c r="C530" s="7">
        <f t="shared" si="8"/>
        <v>0.69970646460508357</v>
      </c>
    </row>
    <row r="531" spans="1:3" x14ac:dyDescent="0.3">
      <c r="A531" s="6" t="s">
        <v>530</v>
      </c>
      <c r="B531" s="10">
        <v>5.8300999999999998</v>
      </c>
      <c r="C531" s="7">
        <f t="shared" si="8"/>
        <v>-1.1947937497881573</v>
      </c>
    </row>
    <row r="532" spans="1:3" x14ac:dyDescent="0.3">
      <c r="A532" s="6" t="s">
        <v>531</v>
      </c>
      <c r="B532" s="10">
        <v>5.8686999999999996</v>
      </c>
      <c r="C532" s="7">
        <f t="shared" si="8"/>
        <v>0.66208126790277599</v>
      </c>
    </row>
    <row r="533" spans="1:3" x14ac:dyDescent="0.3">
      <c r="A533" s="6" t="s">
        <v>532</v>
      </c>
      <c r="B533" s="10">
        <v>5.7927</v>
      </c>
      <c r="C533" s="7">
        <f t="shared" si="8"/>
        <v>-1.2950057082488393</v>
      </c>
    </row>
    <row r="534" spans="1:3" x14ac:dyDescent="0.3">
      <c r="A534" s="6" t="s">
        <v>533</v>
      </c>
      <c r="B534" s="10">
        <v>5.7996999999999996</v>
      </c>
      <c r="C534" s="7">
        <f t="shared" si="8"/>
        <v>0.12084174909799703</v>
      </c>
    </row>
    <row r="535" spans="1:3" x14ac:dyDescent="0.3">
      <c r="A535" s="6" t="s">
        <v>534</v>
      </c>
      <c r="B535" s="10">
        <v>5.7855999999999996</v>
      </c>
      <c r="C535" s="7">
        <f t="shared" si="8"/>
        <v>-0.24311602324258155</v>
      </c>
    </row>
    <row r="536" spans="1:3" x14ac:dyDescent="0.3">
      <c r="A536" s="6" t="s">
        <v>535</v>
      </c>
      <c r="B536" s="10">
        <v>5.7557</v>
      </c>
      <c r="C536" s="7">
        <f t="shared" si="8"/>
        <v>-0.51680033185840013</v>
      </c>
    </row>
    <row r="537" spans="1:3" x14ac:dyDescent="0.3">
      <c r="A537" s="6" t="s">
        <v>536</v>
      </c>
      <c r="B537" s="10">
        <v>5.7808000000000002</v>
      </c>
      <c r="C537" s="7">
        <f t="shared" si="8"/>
        <v>0.43608944177076847</v>
      </c>
    </row>
    <row r="538" spans="1:3" x14ac:dyDescent="0.3">
      <c r="A538" s="6" t="s">
        <v>537</v>
      </c>
      <c r="B538" s="10">
        <v>5.7788000000000004</v>
      </c>
      <c r="C538" s="7">
        <f t="shared" si="8"/>
        <v>-3.4597287572650494E-2</v>
      </c>
    </row>
    <row r="539" spans="1:3" x14ac:dyDescent="0.3">
      <c r="A539" s="6" t="s">
        <v>538</v>
      </c>
      <c r="B539" s="10">
        <v>5.7710999999999997</v>
      </c>
      <c r="C539" s="7">
        <f t="shared" si="8"/>
        <v>-0.13324565653770171</v>
      </c>
    </row>
    <row r="540" spans="1:3" x14ac:dyDescent="0.3">
      <c r="A540" s="6" t="s">
        <v>539</v>
      </c>
      <c r="B540" s="10">
        <v>5.7788000000000004</v>
      </c>
      <c r="C540" s="7">
        <f t="shared" si="8"/>
        <v>0.13342343747293767</v>
      </c>
    </row>
    <row r="541" spans="1:3" x14ac:dyDescent="0.3">
      <c r="A541" s="6" t="s">
        <v>540</v>
      </c>
      <c r="B541" s="10">
        <v>5.7282999999999999</v>
      </c>
      <c r="C541" s="7">
        <f t="shared" si="8"/>
        <v>-0.87388385131862023</v>
      </c>
    </row>
    <row r="542" spans="1:3" x14ac:dyDescent="0.3">
      <c r="A542" s="6" t="s">
        <v>541</v>
      </c>
      <c r="B542" s="10">
        <v>5.7104999999999997</v>
      </c>
      <c r="C542" s="7">
        <f t="shared" si="8"/>
        <v>-0.31073791526282246</v>
      </c>
    </row>
    <row r="543" spans="1:3" x14ac:dyDescent="0.3">
      <c r="A543" s="6" t="s">
        <v>542</v>
      </c>
      <c r="B543" s="10">
        <v>5.6978999999999997</v>
      </c>
      <c r="C543" s="7">
        <f t="shared" si="8"/>
        <v>-0.22064617809298567</v>
      </c>
    </row>
    <row r="544" spans="1:3" x14ac:dyDescent="0.3">
      <c r="A544" s="6" t="s">
        <v>543</v>
      </c>
      <c r="B544" s="10">
        <v>5.7087000000000003</v>
      </c>
      <c r="C544" s="7">
        <f t="shared" si="8"/>
        <v>0.18954351603223271</v>
      </c>
    </row>
    <row r="545" spans="1:3" x14ac:dyDescent="0.3">
      <c r="A545" s="6" t="s">
        <v>544</v>
      </c>
      <c r="B545" s="10">
        <v>5.7019000000000002</v>
      </c>
      <c r="C545" s="7">
        <f t="shared" si="8"/>
        <v>-0.1191164363165018</v>
      </c>
    </row>
    <row r="546" spans="1:3" x14ac:dyDescent="0.3">
      <c r="A546" s="6" t="s">
        <v>545</v>
      </c>
      <c r="B546" s="10">
        <v>5.7027000000000001</v>
      </c>
      <c r="C546" s="7">
        <f t="shared" si="8"/>
        <v>1.4030410915658145E-2</v>
      </c>
    </row>
    <row r="547" spans="1:3" x14ac:dyDescent="0.3">
      <c r="A547" s="6" t="s">
        <v>546</v>
      </c>
      <c r="B547" s="10">
        <v>5.7257999999999996</v>
      </c>
      <c r="C547" s="7">
        <f t="shared" si="8"/>
        <v>0.40507128202429471</v>
      </c>
    </row>
    <row r="548" spans="1:3" x14ac:dyDescent="0.3">
      <c r="A548" s="6" t="s">
        <v>547</v>
      </c>
      <c r="B548" s="10">
        <v>5.7778999999999998</v>
      </c>
      <c r="C548" s="7">
        <f t="shared" si="8"/>
        <v>0.90991651821579977</v>
      </c>
    </row>
    <row r="549" spans="1:3" x14ac:dyDescent="0.3">
      <c r="A549" s="6" t="s">
        <v>548</v>
      </c>
      <c r="B549" s="10">
        <v>5.7756999999999996</v>
      </c>
      <c r="C549" s="7">
        <f t="shared" si="8"/>
        <v>-3.8076117620592285E-2</v>
      </c>
    </row>
    <row r="550" spans="1:3" x14ac:dyDescent="0.3">
      <c r="A550" s="6" t="s">
        <v>549</v>
      </c>
      <c r="B550" s="10">
        <v>5.8228</v>
      </c>
      <c r="C550" s="7">
        <f t="shared" si="8"/>
        <v>0.81548556884880385</v>
      </c>
    </row>
    <row r="551" spans="1:3" x14ac:dyDescent="0.3">
      <c r="A551" s="6" t="s">
        <v>550</v>
      </c>
      <c r="B551" s="10">
        <v>5.8487999999999998</v>
      </c>
      <c r="C551" s="7">
        <f t="shared" si="8"/>
        <v>0.4465205742941506</v>
      </c>
    </row>
    <row r="552" spans="1:3" x14ac:dyDescent="0.3">
      <c r="A552" s="6" t="s">
        <v>551</v>
      </c>
      <c r="B552" s="10">
        <v>5.7914000000000003</v>
      </c>
      <c r="C552" s="7">
        <f t="shared" si="8"/>
        <v>-0.98139789358499963</v>
      </c>
    </row>
    <row r="553" spans="1:3" x14ac:dyDescent="0.3">
      <c r="A553" s="6" t="s">
        <v>552</v>
      </c>
      <c r="B553" s="10">
        <v>5.7488999999999999</v>
      </c>
      <c r="C553" s="7">
        <f t="shared" si="8"/>
        <v>-0.73384673826709301</v>
      </c>
    </row>
    <row r="554" spans="1:3" x14ac:dyDescent="0.3">
      <c r="A554" s="6" t="s">
        <v>553</v>
      </c>
      <c r="B554" s="10">
        <v>5.7687999999999997</v>
      </c>
      <c r="C554" s="7">
        <f t="shared" si="8"/>
        <v>0.34615317712953447</v>
      </c>
    </row>
    <row r="555" spans="1:3" x14ac:dyDescent="0.3">
      <c r="A555" s="6" t="s">
        <v>554</v>
      </c>
      <c r="B555" s="10">
        <v>5.7930000000000001</v>
      </c>
      <c r="C555" s="7">
        <f t="shared" si="8"/>
        <v>0.41949798918320003</v>
      </c>
    </row>
    <row r="556" spans="1:3" x14ac:dyDescent="0.3">
      <c r="A556" s="6" t="s">
        <v>555</v>
      </c>
      <c r="B556" s="10">
        <v>5.8346</v>
      </c>
      <c r="C556" s="7">
        <f t="shared" si="8"/>
        <v>0.71810806145347594</v>
      </c>
    </row>
    <row r="557" spans="1:3" x14ac:dyDescent="0.3">
      <c r="A557" s="6" t="s">
        <v>556</v>
      </c>
      <c r="B557" s="10">
        <v>5.8268000000000004</v>
      </c>
      <c r="C557" s="7">
        <f t="shared" si="8"/>
        <v>-0.13368525691563407</v>
      </c>
    </row>
    <row r="558" spans="1:3" x14ac:dyDescent="0.3">
      <c r="A558" s="6" t="s">
        <v>557</v>
      </c>
      <c r="B558" s="10">
        <v>5.8131000000000004</v>
      </c>
      <c r="C558" s="7">
        <f t="shared" si="8"/>
        <v>-0.23512047779227097</v>
      </c>
    </row>
    <row r="559" spans="1:3" x14ac:dyDescent="0.3">
      <c r="A559" s="6" t="s">
        <v>558</v>
      </c>
      <c r="B559" s="10">
        <v>5.7419000000000002</v>
      </c>
      <c r="C559" s="7">
        <f t="shared" si="8"/>
        <v>-1.2248198035471634</v>
      </c>
    </row>
    <row r="560" spans="1:3" x14ac:dyDescent="0.3">
      <c r="A560" s="6" t="s">
        <v>559</v>
      </c>
      <c r="B560" s="10">
        <v>5.7081999999999997</v>
      </c>
      <c r="C560" s="7">
        <f t="shared" si="8"/>
        <v>-0.5869137393545778</v>
      </c>
    </row>
    <row r="561" spans="1:3" x14ac:dyDescent="0.3">
      <c r="A561" s="6" t="s">
        <v>560</v>
      </c>
      <c r="B561" s="10">
        <v>5.6852</v>
      </c>
      <c r="C561" s="7">
        <f t="shared" si="8"/>
        <v>-0.40292911951227511</v>
      </c>
    </row>
    <row r="562" spans="1:3" x14ac:dyDescent="0.3">
      <c r="A562" s="6" t="s">
        <v>561</v>
      </c>
      <c r="B562" s="10">
        <v>5.6657000000000002</v>
      </c>
      <c r="C562" s="7">
        <f t="shared" si="8"/>
        <v>-0.34299584887074952</v>
      </c>
    </row>
    <row r="563" spans="1:3" x14ac:dyDescent="0.3">
      <c r="A563" s="6" t="s">
        <v>562</v>
      </c>
      <c r="B563" s="10">
        <v>5.6627999999999998</v>
      </c>
      <c r="C563" s="7">
        <f t="shared" si="8"/>
        <v>-5.1185202181554736E-2</v>
      </c>
    </row>
    <row r="564" spans="1:3" x14ac:dyDescent="0.3">
      <c r="A564" s="6" t="s">
        <v>563</v>
      </c>
      <c r="B564" s="10">
        <v>5.7241</v>
      </c>
      <c r="C564" s="7">
        <f t="shared" si="8"/>
        <v>1.0825033552306302</v>
      </c>
    </row>
    <row r="565" spans="1:3" x14ac:dyDescent="0.3">
      <c r="A565" s="6" t="s">
        <v>564</v>
      </c>
      <c r="B565" s="10">
        <v>5.7403000000000004</v>
      </c>
      <c r="C565" s="7">
        <f t="shared" si="8"/>
        <v>0.28301392358624827</v>
      </c>
    </row>
    <row r="566" spans="1:3" x14ac:dyDescent="0.3">
      <c r="A566" s="6" t="s">
        <v>565</v>
      </c>
      <c r="B566" s="10">
        <v>5.6992000000000003</v>
      </c>
      <c r="C566" s="7">
        <f t="shared" si="8"/>
        <v>-0.71599045346062284</v>
      </c>
    </row>
    <row r="567" spans="1:3" x14ac:dyDescent="0.3">
      <c r="A567" s="6" t="s">
        <v>566</v>
      </c>
      <c r="B567" s="10">
        <v>5.7298</v>
      </c>
      <c r="C567" s="7">
        <f t="shared" si="8"/>
        <v>0.53691746209993929</v>
      </c>
    </row>
    <row r="568" spans="1:3" x14ac:dyDescent="0.3">
      <c r="A568" s="6" t="s">
        <v>567</v>
      </c>
      <c r="B568" s="10">
        <v>5.7473999999999998</v>
      </c>
      <c r="C568" s="7">
        <f t="shared" si="8"/>
        <v>0.30716604419002125</v>
      </c>
    </row>
    <row r="569" spans="1:3" x14ac:dyDescent="0.3">
      <c r="A569" s="6" t="s">
        <v>568</v>
      </c>
      <c r="B569" s="10">
        <v>5.766</v>
      </c>
      <c r="C569" s="7">
        <f t="shared" si="8"/>
        <v>0.32362459546925865</v>
      </c>
    </row>
    <row r="570" spans="1:3" x14ac:dyDescent="0.3">
      <c r="A570" s="6" t="s">
        <v>569</v>
      </c>
      <c r="B570" s="10">
        <v>5.7422000000000004</v>
      </c>
      <c r="C570" s="7">
        <f t="shared" si="8"/>
        <v>-0.41276448144293443</v>
      </c>
    </row>
    <row r="571" spans="1:3" x14ac:dyDescent="0.3">
      <c r="A571" s="6" t="s">
        <v>570</v>
      </c>
      <c r="B571" s="10">
        <v>5.7050999999999998</v>
      </c>
      <c r="C571" s="7">
        <f t="shared" si="8"/>
        <v>-0.64609383163248535</v>
      </c>
    </row>
    <row r="572" spans="1:3" x14ac:dyDescent="0.3">
      <c r="A572" s="6" t="s">
        <v>571</v>
      </c>
      <c r="B572" s="10">
        <v>5.6923000000000004</v>
      </c>
      <c r="C572" s="7">
        <f t="shared" si="8"/>
        <v>-0.22436065976055597</v>
      </c>
    </row>
    <row r="573" spans="1:3" x14ac:dyDescent="0.3">
      <c r="A573" s="6" t="s">
        <v>572</v>
      </c>
      <c r="B573" s="10">
        <v>5.6067</v>
      </c>
      <c r="C573" s="7">
        <f t="shared" si="8"/>
        <v>-1.5037858159267841</v>
      </c>
    </row>
    <row r="574" spans="1:3" x14ac:dyDescent="0.3">
      <c r="A574" s="6" t="s">
        <v>573</v>
      </c>
      <c r="B574" s="10">
        <v>5.7777000000000003</v>
      </c>
      <c r="C574" s="7">
        <f t="shared" si="8"/>
        <v>3.0499224142543788</v>
      </c>
    </row>
    <row r="575" spans="1:3" x14ac:dyDescent="0.3">
      <c r="A575" s="6" t="s">
        <v>574</v>
      </c>
      <c r="B575" s="10">
        <v>5.8876999999999997</v>
      </c>
      <c r="C575" s="7">
        <f t="shared" si="8"/>
        <v>1.9038717828893752</v>
      </c>
    </row>
    <row r="576" spans="1:3" x14ac:dyDescent="0.3">
      <c r="A576" s="6" t="s">
        <v>575</v>
      </c>
      <c r="B576" s="10">
        <v>5.9367999999999999</v>
      </c>
      <c r="C576" s="7">
        <f t="shared" si="8"/>
        <v>0.83394194677038813</v>
      </c>
    </row>
    <row r="577" spans="1:3" x14ac:dyDescent="0.3">
      <c r="A577" s="6" t="s">
        <v>576</v>
      </c>
      <c r="B577" s="10">
        <v>6.0605000000000002</v>
      </c>
      <c r="C577" s="7">
        <f t="shared" si="8"/>
        <v>2.0836140681848869</v>
      </c>
    </row>
    <row r="578" spans="1:3" x14ac:dyDescent="0.3">
      <c r="A578" s="6" t="s">
        <v>577</v>
      </c>
      <c r="B578" s="10">
        <v>5.9115000000000002</v>
      </c>
      <c r="C578" s="7">
        <f t="shared" si="8"/>
        <v>-2.4585430245029292</v>
      </c>
    </row>
    <row r="579" spans="1:3" x14ac:dyDescent="0.3">
      <c r="A579" s="6" t="s">
        <v>578</v>
      </c>
      <c r="B579" s="10">
        <v>5.8737000000000004</v>
      </c>
      <c r="C579" s="7">
        <f t="shared" si="8"/>
        <v>-0.63943161634102741</v>
      </c>
    </row>
    <row r="580" spans="1:3" x14ac:dyDescent="0.3">
      <c r="A580" s="6" t="s">
        <v>579</v>
      </c>
      <c r="B580" s="10">
        <v>5.8425000000000002</v>
      </c>
      <c r="C580" s="7">
        <f t="shared" si="8"/>
        <v>-0.53118136779202407</v>
      </c>
    </row>
    <row r="581" spans="1:3" x14ac:dyDescent="0.3">
      <c r="A581" s="6" t="s">
        <v>580</v>
      </c>
      <c r="B581" s="10">
        <v>5.8707000000000003</v>
      </c>
      <c r="C581" s="7">
        <f t="shared" si="8"/>
        <v>0.48267008985879339</v>
      </c>
    </row>
    <row r="582" spans="1:3" x14ac:dyDescent="0.3">
      <c r="A582" s="6" t="s">
        <v>581</v>
      </c>
      <c r="B582" s="10">
        <v>5.8807999999999998</v>
      </c>
      <c r="C582" s="7">
        <f t="shared" si="8"/>
        <v>0.17204081285024875</v>
      </c>
    </row>
    <row r="583" spans="1:3" x14ac:dyDescent="0.3">
      <c r="A583" s="6" t="s">
        <v>582</v>
      </c>
      <c r="B583" s="10">
        <v>5.8559000000000001</v>
      </c>
      <c r="C583" s="7">
        <f t="shared" si="8"/>
        <v>-0.42341178071010238</v>
      </c>
    </row>
    <row r="584" spans="1:3" x14ac:dyDescent="0.3">
      <c r="A584" s="6" t="s">
        <v>583</v>
      </c>
      <c r="B584" s="10">
        <v>5.7496</v>
      </c>
      <c r="C584" s="7">
        <f t="shared" si="8"/>
        <v>-1.8152632387848162</v>
      </c>
    </row>
    <row r="585" spans="1:3" x14ac:dyDescent="0.3">
      <c r="A585" s="6" t="s">
        <v>584</v>
      </c>
      <c r="B585" s="10">
        <v>5.6879999999999997</v>
      </c>
      <c r="C585" s="7">
        <f t="shared" ref="C585:C648" si="9">(B585-B584)/B584*100</f>
        <v>-1.0713788785306859</v>
      </c>
    </row>
    <row r="586" spans="1:3" x14ac:dyDescent="0.3">
      <c r="A586" s="6" t="s">
        <v>585</v>
      </c>
      <c r="B586" s="10">
        <v>5.6738</v>
      </c>
      <c r="C586" s="7">
        <f t="shared" si="9"/>
        <v>-0.2496483825597709</v>
      </c>
    </row>
    <row r="587" spans="1:3" x14ac:dyDescent="0.3">
      <c r="A587" s="6" t="s">
        <v>586</v>
      </c>
      <c r="B587" s="10">
        <v>5.6845999999999997</v>
      </c>
      <c r="C587" s="7">
        <f t="shared" si="9"/>
        <v>0.19034861997249988</v>
      </c>
    </row>
    <row r="588" spans="1:3" x14ac:dyDescent="0.3">
      <c r="A588" s="6" t="s">
        <v>587</v>
      </c>
      <c r="B588" s="10">
        <v>5.6680999999999999</v>
      </c>
      <c r="C588" s="7">
        <f t="shared" si="9"/>
        <v>-0.29025788973718009</v>
      </c>
    </row>
    <row r="589" spans="1:3" x14ac:dyDescent="0.3">
      <c r="A589" s="6" t="s">
        <v>588</v>
      </c>
      <c r="B589" s="10">
        <v>5.6467000000000001</v>
      </c>
      <c r="C589" s="7">
        <f t="shared" si="9"/>
        <v>-0.37755156048763894</v>
      </c>
    </row>
    <row r="590" spans="1:3" x14ac:dyDescent="0.3">
      <c r="A590" s="6" t="s">
        <v>589</v>
      </c>
      <c r="B590" s="10">
        <v>5.6608000000000001</v>
      </c>
      <c r="C590" s="7">
        <f t="shared" si="9"/>
        <v>0.24970336656808403</v>
      </c>
    </row>
    <row r="591" spans="1:3" x14ac:dyDescent="0.3">
      <c r="A591" s="6" t="s">
        <v>590</v>
      </c>
      <c r="B591" s="10">
        <v>5.6394000000000002</v>
      </c>
      <c r="C591" s="7">
        <f t="shared" si="9"/>
        <v>-0.37803843979649276</v>
      </c>
    </row>
    <row r="592" spans="1:3" x14ac:dyDescent="0.3">
      <c r="A592" s="6" t="s">
        <v>591</v>
      </c>
      <c r="B592" s="10">
        <v>5.6520000000000001</v>
      </c>
      <c r="C592" s="7">
        <f t="shared" si="9"/>
        <v>0.22342802425789876</v>
      </c>
    </row>
    <row r="593" spans="1:3" x14ac:dyDescent="0.3">
      <c r="A593" s="6" t="s">
        <v>592</v>
      </c>
      <c r="B593" s="10">
        <v>5.7210000000000001</v>
      </c>
      <c r="C593" s="7">
        <f t="shared" si="9"/>
        <v>1.2208067940552008</v>
      </c>
    </row>
    <row r="594" spans="1:3" x14ac:dyDescent="0.3">
      <c r="A594" s="6" t="s">
        <v>593</v>
      </c>
      <c r="B594" s="10">
        <v>5.7374999999999998</v>
      </c>
      <c r="C594" s="7">
        <f t="shared" si="9"/>
        <v>0.28841111693759375</v>
      </c>
    </row>
    <row r="595" spans="1:3" x14ac:dyDescent="0.3">
      <c r="A595" s="6" t="s">
        <v>594</v>
      </c>
      <c r="B595" s="10">
        <v>5.6859999999999999</v>
      </c>
      <c r="C595" s="7">
        <f t="shared" si="9"/>
        <v>-0.8976034858387778</v>
      </c>
    </row>
    <row r="596" spans="1:3" x14ac:dyDescent="0.3">
      <c r="A596" s="6" t="s">
        <v>595</v>
      </c>
      <c r="B596" s="10">
        <v>5.6510999999999996</v>
      </c>
      <c r="C596" s="7">
        <f t="shared" si="9"/>
        <v>-0.61378825184664743</v>
      </c>
    </row>
    <row r="597" spans="1:3" x14ac:dyDescent="0.3">
      <c r="A597" s="6" t="s">
        <v>596</v>
      </c>
      <c r="B597" s="10">
        <v>5.6821999999999999</v>
      </c>
      <c r="C597" s="7">
        <f t="shared" si="9"/>
        <v>0.55033533294403481</v>
      </c>
    </row>
    <row r="598" spans="1:3" x14ac:dyDescent="0.3">
      <c r="A598" s="6" t="s">
        <v>597</v>
      </c>
      <c r="B598" s="10">
        <v>5.6261999999999999</v>
      </c>
      <c r="C598" s="7">
        <f t="shared" si="9"/>
        <v>-0.98553377213051374</v>
      </c>
    </row>
    <row r="599" spans="1:3" x14ac:dyDescent="0.3">
      <c r="A599" s="6" t="s">
        <v>598</v>
      </c>
      <c r="B599" s="10">
        <v>5.61</v>
      </c>
      <c r="C599" s="7">
        <f t="shared" si="9"/>
        <v>-0.28793857310439636</v>
      </c>
    </row>
    <row r="600" spans="1:3" x14ac:dyDescent="0.3">
      <c r="A600" s="6" t="s">
        <v>599</v>
      </c>
      <c r="B600" s="10">
        <v>5.6327999999999996</v>
      </c>
      <c r="C600" s="7">
        <f t="shared" si="9"/>
        <v>0.4064171122994521</v>
      </c>
    </row>
    <row r="601" spans="1:3" x14ac:dyDescent="0.3">
      <c r="A601" s="6" t="s">
        <v>600</v>
      </c>
      <c r="B601" s="10">
        <v>5.6924999999999999</v>
      </c>
      <c r="C601" s="7">
        <f t="shared" si="9"/>
        <v>1.0598636557307255</v>
      </c>
    </row>
    <row r="602" spans="1:3" x14ac:dyDescent="0.3">
      <c r="A602" s="6" t="s">
        <v>601</v>
      </c>
      <c r="B602" s="10">
        <v>5.6590999999999996</v>
      </c>
      <c r="C602" s="7">
        <f t="shared" si="9"/>
        <v>-0.58673693456302711</v>
      </c>
    </row>
    <row r="603" spans="1:3" x14ac:dyDescent="0.3">
      <c r="A603" s="6" t="s">
        <v>602</v>
      </c>
      <c r="B603" s="10">
        <v>5.6619999999999999</v>
      </c>
      <c r="C603" s="7">
        <f t="shared" si="9"/>
        <v>5.1244897598564203E-2</v>
      </c>
    </row>
    <row r="604" spans="1:3" x14ac:dyDescent="0.3">
      <c r="A604" s="6" t="s">
        <v>603</v>
      </c>
      <c r="B604" s="10">
        <v>5.6570999999999998</v>
      </c>
      <c r="C604" s="7">
        <f t="shared" si="9"/>
        <v>-8.6541858000708696E-2</v>
      </c>
    </row>
    <row r="605" spans="1:3" x14ac:dyDescent="0.3">
      <c r="A605" s="6" t="s">
        <v>604</v>
      </c>
      <c r="B605" s="10">
        <v>5.6390000000000002</v>
      </c>
      <c r="C605" s="7">
        <f t="shared" si="9"/>
        <v>-0.31995191882766016</v>
      </c>
    </row>
    <row r="606" spans="1:3" x14ac:dyDescent="0.3">
      <c r="A606" s="6" t="s">
        <v>605</v>
      </c>
      <c r="B606" s="10">
        <v>5.6932</v>
      </c>
      <c r="C606" s="7">
        <f t="shared" si="9"/>
        <v>0.96116332683099481</v>
      </c>
    </row>
    <row r="607" spans="1:3" x14ac:dyDescent="0.3">
      <c r="A607" s="6" t="s">
        <v>606</v>
      </c>
      <c r="B607" s="10">
        <v>5.6619000000000002</v>
      </c>
      <c r="C607" s="7">
        <f t="shared" si="9"/>
        <v>-0.54977868334152824</v>
      </c>
    </row>
    <row r="608" spans="1:3" x14ac:dyDescent="0.3">
      <c r="A608" s="6" t="s">
        <v>607</v>
      </c>
      <c r="B608" s="10">
        <v>5.6539000000000001</v>
      </c>
      <c r="C608" s="7">
        <f t="shared" si="9"/>
        <v>-0.1412953248909378</v>
      </c>
    </row>
    <row r="609" spans="1:3" x14ac:dyDescent="0.3">
      <c r="A609" s="6" t="s">
        <v>608</v>
      </c>
      <c r="B609" s="10">
        <v>5.6936</v>
      </c>
      <c r="C609" s="7">
        <f t="shared" si="9"/>
        <v>0.70217018341321646</v>
      </c>
    </row>
    <row r="610" spans="1:3" x14ac:dyDescent="0.3">
      <c r="A610" s="6" t="s">
        <v>609</v>
      </c>
      <c r="B610" s="10">
        <v>5.6558999999999999</v>
      </c>
      <c r="C610" s="7">
        <f t="shared" si="9"/>
        <v>-0.66214697203878159</v>
      </c>
    </row>
    <row r="611" spans="1:3" x14ac:dyDescent="0.3">
      <c r="A611" s="6" t="s">
        <v>610</v>
      </c>
      <c r="B611" s="10">
        <v>5.7087000000000003</v>
      </c>
      <c r="C611" s="7">
        <f t="shared" si="9"/>
        <v>0.93353842889726479</v>
      </c>
    </row>
    <row r="612" spans="1:3" x14ac:dyDescent="0.3">
      <c r="A612" s="6" t="s">
        <v>611</v>
      </c>
      <c r="B612" s="10">
        <v>5.6936999999999998</v>
      </c>
      <c r="C612" s="7">
        <f t="shared" si="9"/>
        <v>-0.2627568448158174</v>
      </c>
    </row>
    <row r="613" spans="1:3" x14ac:dyDescent="0.3">
      <c r="A613" s="6" t="s">
        <v>612</v>
      </c>
      <c r="B613" s="10">
        <v>5.6694000000000004</v>
      </c>
      <c r="C613" s="7">
        <f t="shared" si="9"/>
        <v>-0.42678750197585619</v>
      </c>
    </row>
    <row r="614" spans="1:3" x14ac:dyDescent="0.3">
      <c r="A614" s="6" t="s">
        <v>613</v>
      </c>
      <c r="B614" s="10">
        <v>5.6332000000000004</v>
      </c>
      <c r="C614" s="7">
        <f t="shared" si="9"/>
        <v>-0.63851553956326956</v>
      </c>
    </row>
    <row r="615" spans="1:3" x14ac:dyDescent="0.3">
      <c r="A615" s="6" t="s">
        <v>614</v>
      </c>
      <c r="B615" s="10">
        <v>5.5968999999999998</v>
      </c>
      <c r="C615" s="7">
        <f t="shared" si="9"/>
        <v>-0.64439395015267809</v>
      </c>
    </row>
    <row r="616" spans="1:3" x14ac:dyDescent="0.3">
      <c r="A616" s="6" t="s">
        <v>615</v>
      </c>
      <c r="B616" s="10">
        <v>5.5946999999999996</v>
      </c>
      <c r="C616" s="7">
        <f t="shared" si="9"/>
        <v>-3.9307473780131892E-2</v>
      </c>
    </row>
    <row r="617" spans="1:3" x14ac:dyDescent="0.3">
      <c r="A617" s="6" t="s">
        <v>616</v>
      </c>
      <c r="B617" s="10">
        <v>5.5759999999999996</v>
      </c>
      <c r="C617" s="7">
        <f t="shared" si="9"/>
        <v>-0.33424491036159115</v>
      </c>
    </row>
    <row r="618" spans="1:3" x14ac:dyDescent="0.3">
      <c r="A618" s="6" t="s">
        <v>617</v>
      </c>
      <c r="B618" s="10">
        <v>5.5556999999999999</v>
      </c>
      <c r="C618" s="7">
        <f t="shared" si="9"/>
        <v>-0.36406025824963706</v>
      </c>
    </row>
    <row r="619" spans="1:3" x14ac:dyDescent="0.3">
      <c r="A619" s="6" t="s">
        <v>618</v>
      </c>
      <c r="B619" s="10">
        <v>5.5389999999999997</v>
      </c>
      <c r="C619" s="7">
        <f t="shared" si="9"/>
        <v>-0.30059218460320319</v>
      </c>
    </row>
    <row r="620" spans="1:3" x14ac:dyDescent="0.3">
      <c r="A620" s="6" t="s">
        <v>619</v>
      </c>
      <c r="B620" s="10">
        <v>5.5388000000000002</v>
      </c>
      <c r="C620" s="7">
        <f t="shared" si="9"/>
        <v>-3.6107600649852661E-3</v>
      </c>
    </row>
    <row r="621" spans="1:3" x14ac:dyDescent="0.3">
      <c r="A621" s="6" t="s">
        <v>620</v>
      </c>
      <c r="B621" s="10">
        <v>5.5651999999999999</v>
      </c>
      <c r="C621" s="7">
        <f t="shared" si="9"/>
        <v>0.47663753881706783</v>
      </c>
    </row>
    <row r="622" spans="1:3" x14ac:dyDescent="0.3">
      <c r="A622" s="6" t="s">
        <v>621</v>
      </c>
      <c r="B622" s="10">
        <v>5.5122999999999998</v>
      </c>
      <c r="C622" s="7">
        <f t="shared" si="9"/>
        <v>-0.95054984546827004</v>
      </c>
    </row>
    <row r="623" spans="1:3" x14ac:dyDescent="0.3">
      <c r="A623" s="6" t="s">
        <v>622</v>
      </c>
      <c r="B623" s="10">
        <v>5.4772999999999996</v>
      </c>
      <c r="C623" s="7">
        <f t="shared" si="9"/>
        <v>-0.63494367142572328</v>
      </c>
    </row>
    <row r="624" spans="1:3" x14ac:dyDescent="0.3">
      <c r="A624" s="6" t="s">
        <v>623</v>
      </c>
      <c r="B624" s="10">
        <v>5.4878999999999998</v>
      </c>
      <c r="C624" s="7">
        <f t="shared" si="9"/>
        <v>0.19352600733938558</v>
      </c>
    </row>
    <row r="625" spans="1:3" x14ac:dyDescent="0.3">
      <c r="A625" s="6" t="s">
        <v>624</v>
      </c>
      <c r="B625" s="10">
        <v>5.4957000000000003</v>
      </c>
      <c r="C625" s="7">
        <f t="shared" si="9"/>
        <v>0.14213086973159994</v>
      </c>
    </row>
    <row r="626" spans="1:3" x14ac:dyDescent="0.3">
      <c r="A626" s="6" t="s">
        <v>625</v>
      </c>
      <c r="B626" s="10">
        <v>5.5213000000000001</v>
      </c>
      <c r="C626" s="7">
        <f t="shared" si="9"/>
        <v>0.46581873100787607</v>
      </c>
    </row>
    <row r="627" spans="1:3" x14ac:dyDescent="0.3">
      <c r="A627" s="6" t="s">
        <v>626</v>
      </c>
      <c r="B627" s="10">
        <v>5.4938000000000002</v>
      </c>
      <c r="C627" s="7">
        <f t="shared" si="9"/>
        <v>-0.49807110644232078</v>
      </c>
    </row>
    <row r="628" spans="1:3" x14ac:dyDescent="0.3">
      <c r="A628" s="6" t="s">
        <v>627</v>
      </c>
      <c r="B628" s="10">
        <v>5.5427</v>
      </c>
      <c r="C628" s="7">
        <f t="shared" si="9"/>
        <v>0.89009428810658786</v>
      </c>
    </row>
    <row r="629" spans="1:3" x14ac:dyDescent="0.3">
      <c r="A629" s="6" t="s">
        <v>628</v>
      </c>
      <c r="B629" s="10">
        <v>5.5145</v>
      </c>
      <c r="C629" s="7">
        <f t="shared" si="9"/>
        <v>-0.50877731069695287</v>
      </c>
    </row>
    <row r="630" spans="1:3" x14ac:dyDescent="0.3">
      <c r="A630" s="6" t="s">
        <v>629</v>
      </c>
      <c r="B630" s="10">
        <v>5.4759000000000002</v>
      </c>
      <c r="C630" s="7">
        <f t="shared" si="9"/>
        <v>-0.69997279898449083</v>
      </c>
    </row>
    <row r="631" spans="1:3" x14ac:dyDescent="0.3">
      <c r="A631" s="6" t="s">
        <v>630</v>
      </c>
      <c r="B631" s="10">
        <v>5.4570999999999996</v>
      </c>
      <c r="C631" s="7">
        <f t="shared" si="9"/>
        <v>-0.34332255884878454</v>
      </c>
    </row>
    <row r="632" spans="1:3" x14ac:dyDescent="0.3">
      <c r="A632" s="6" t="s">
        <v>631</v>
      </c>
      <c r="B632" s="10">
        <v>5.4511000000000003</v>
      </c>
      <c r="C632" s="7">
        <f t="shared" si="9"/>
        <v>-0.10994850744899928</v>
      </c>
    </row>
    <row r="633" spans="1:3" x14ac:dyDescent="0.3">
      <c r="A633" s="6" t="s">
        <v>632</v>
      </c>
      <c r="B633" s="10">
        <v>5.4512</v>
      </c>
      <c r="C633" s="7">
        <f t="shared" si="9"/>
        <v>1.8344921208520656E-3</v>
      </c>
    </row>
    <row r="634" spans="1:3" x14ac:dyDescent="0.3">
      <c r="A634" s="6" t="s">
        <v>633</v>
      </c>
      <c r="B634" s="10">
        <v>5.4207999999999998</v>
      </c>
      <c r="C634" s="7">
        <f t="shared" si="9"/>
        <v>-0.55767537422953128</v>
      </c>
    </row>
    <row r="635" spans="1:3" x14ac:dyDescent="0.3">
      <c r="A635" s="6" t="s">
        <v>634</v>
      </c>
      <c r="B635" s="10">
        <v>5.4089999999999998</v>
      </c>
      <c r="C635" s="7">
        <f t="shared" si="9"/>
        <v>-0.21768004722550238</v>
      </c>
    </row>
    <row r="636" spans="1:3" x14ac:dyDescent="0.3">
      <c r="A636" s="6" t="s">
        <v>635</v>
      </c>
      <c r="B636" s="10">
        <v>5.4551999999999996</v>
      </c>
      <c r="C636" s="7">
        <f t="shared" si="9"/>
        <v>0.85413200221852104</v>
      </c>
    </row>
    <row r="637" spans="1:3" x14ac:dyDescent="0.3">
      <c r="A637" s="6" t="s">
        <v>636</v>
      </c>
      <c r="B637" s="10">
        <v>5.4570999999999996</v>
      </c>
      <c r="C637" s="7">
        <f t="shared" si="9"/>
        <v>3.4829153834873387E-2</v>
      </c>
    </row>
    <row r="638" spans="1:3" x14ac:dyDescent="0.3">
      <c r="A638" s="6" t="s">
        <v>637</v>
      </c>
      <c r="B638" s="10">
        <v>5.4626000000000001</v>
      </c>
      <c r="C638" s="7">
        <f t="shared" si="9"/>
        <v>0.10078613182826968</v>
      </c>
    </row>
    <row r="639" spans="1:3" x14ac:dyDescent="0.3">
      <c r="A639" s="6" t="s">
        <v>638</v>
      </c>
      <c r="B639" s="10">
        <v>5.5433000000000003</v>
      </c>
      <c r="C639" s="7">
        <f t="shared" si="9"/>
        <v>1.4773184930253032</v>
      </c>
    </row>
    <row r="640" spans="1:3" x14ac:dyDescent="0.3">
      <c r="A640" s="6" t="s">
        <v>639</v>
      </c>
      <c r="B640" s="10">
        <v>5.5721999999999996</v>
      </c>
      <c r="C640" s="7">
        <f t="shared" si="9"/>
        <v>0.52135009831687373</v>
      </c>
    </row>
    <row r="641" spans="1:3" x14ac:dyDescent="0.3">
      <c r="A641" s="6" t="s">
        <v>640</v>
      </c>
      <c r="B641" s="10">
        <v>5.5594999999999999</v>
      </c>
      <c r="C641" s="7">
        <f t="shared" si="9"/>
        <v>-0.22791716018807137</v>
      </c>
    </row>
    <row r="642" spans="1:3" x14ac:dyDescent="0.3">
      <c r="A642" s="6" t="s">
        <v>641</v>
      </c>
      <c r="B642" s="10">
        <v>5.5575999999999999</v>
      </c>
      <c r="C642" s="7">
        <f t="shared" si="9"/>
        <v>-3.4175735227988356E-2</v>
      </c>
    </row>
    <row r="643" spans="1:3" x14ac:dyDescent="0.3">
      <c r="A643" s="6" t="s">
        <v>642</v>
      </c>
      <c r="B643" s="10">
        <v>5.5721999999999996</v>
      </c>
      <c r="C643" s="7">
        <f t="shared" si="9"/>
        <v>0.26270332517633016</v>
      </c>
    </row>
    <row r="644" spans="1:3" x14ac:dyDescent="0.3">
      <c r="A644" s="6" t="s">
        <v>643</v>
      </c>
      <c r="B644" s="10">
        <v>5.5736999999999997</v>
      </c>
      <c r="C644" s="7">
        <f t="shared" si="9"/>
        <v>2.6919349628513996E-2</v>
      </c>
    </row>
    <row r="645" spans="1:3" x14ac:dyDescent="0.3">
      <c r="A645" s="6" t="s">
        <v>644</v>
      </c>
      <c r="B645" s="10">
        <v>5.5465999999999998</v>
      </c>
      <c r="C645" s="7">
        <f t="shared" si="9"/>
        <v>-0.48621203150510262</v>
      </c>
    </row>
    <row r="646" spans="1:3" x14ac:dyDescent="0.3">
      <c r="A646" s="6" t="s">
        <v>645</v>
      </c>
      <c r="B646" s="10">
        <v>5.5625</v>
      </c>
      <c r="C646" s="7">
        <f t="shared" si="9"/>
        <v>0.28666209930408265</v>
      </c>
    </row>
    <row r="647" spans="1:3" x14ac:dyDescent="0.3">
      <c r="A647" s="6" t="s">
        <v>646</v>
      </c>
      <c r="B647" s="10">
        <v>5.5709</v>
      </c>
      <c r="C647" s="7">
        <f t="shared" si="9"/>
        <v>0.15101123595505553</v>
      </c>
    </row>
    <row r="648" spans="1:3" x14ac:dyDescent="0.3">
      <c r="A648" s="6" t="s">
        <v>647</v>
      </c>
      <c r="B648" s="10">
        <v>5.5537000000000001</v>
      </c>
      <c r="C648" s="7">
        <f t="shared" si="9"/>
        <v>-0.30874724012277877</v>
      </c>
    </row>
    <row r="649" spans="1:3" x14ac:dyDescent="0.3">
      <c r="A649" s="6" t="s">
        <v>648</v>
      </c>
      <c r="B649" s="10">
        <v>5.5239000000000003</v>
      </c>
      <c r="C649" s="7">
        <f t="shared" ref="C649:C712" si="10">(B649-B648)/B648*100</f>
        <v>-0.53657921745862802</v>
      </c>
    </row>
    <row r="650" spans="1:3" x14ac:dyDescent="0.3">
      <c r="A650" s="6" t="s">
        <v>649</v>
      </c>
      <c r="B650" s="10">
        <v>5.5426000000000002</v>
      </c>
      <c r="C650" s="7">
        <f t="shared" si="10"/>
        <v>0.33852893788808519</v>
      </c>
    </row>
    <row r="651" spans="1:3" x14ac:dyDescent="0.3">
      <c r="A651" s="6" t="s">
        <v>650</v>
      </c>
      <c r="B651" s="10">
        <v>5.5876999999999999</v>
      </c>
      <c r="C651" s="7">
        <f t="shared" si="10"/>
        <v>0.81369754266949978</v>
      </c>
    </row>
    <row r="652" spans="1:3" x14ac:dyDescent="0.3">
      <c r="A652" s="6" t="s">
        <v>651</v>
      </c>
      <c r="B652" s="10">
        <v>5.5763999999999996</v>
      </c>
      <c r="C652" s="7">
        <f t="shared" si="10"/>
        <v>-0.2022298978112696</v>
      </c>
    </row>
    <row r="653" spans="1:3" x14ac:dyDescent="0.3">
      <c r="A653" s="6" t="s">
        <v>652</v>
      </c>
      <c r="B653" s="10">
        <v>5.6033999999999997</v>
      </c>
      <c r="C653" s="7">
        <f t="shared" si="10"/>
        <v>0.48418334409296565</v>
      </c>
    </row>
    <row r="654" spans="1:3" x14ac:dyDescent="0.3">
      <c r="A654" s="6" t="s">
        <v>653</v>
      </c>
      <c r="B654" s="10">
        <v>5.6021000000000001</v>
      </c>
      <c r="C654" s="7">
        <f t="shared" si="10"/>
        <v>-2.320019987863859E-2</v>
      </c>
    </row>
    <row r="655" spans="1:3" x14ac:dyDescent="0.3">
      <c r="A655" s="6" t="s">
        <v>654</v>
      </c>
      <c r="B655" s="10">
        <v>5.5435999999999996</v>
      </c>
      <c r="C655" s="7">
        <f t="shared" si="10"/>
        <v>-1.0442512629192702</v>
      </c>
    </row>
    <row r="656" spans="1:3" x14ac:dyDescent="0.3">
      <c r="A656" s="6" t="s">
        <v>655</v>
      </c>
      <c r="B656" s="10">
        <v>5.5113000000000003</v>
      </c>
      <c r="C656" s="7">
        <f t="shared" si="10"/>
        <v>-0.58265387113066114</v>
      </c>
    </row>
    <row r="657" spans="1:3" x14ac:dyDescent="0.3">
      <c r="A657" s="6" t="s">
        <v>656</v>
      </c>
      <c r="B657" s="10">
        <v>5.5118999999999998</v>
      </c>
      <c r="C657" s="7">
        <f t="shared" si="10"/>
        <v>1.0886723640511128E-2</v>
      </c>
    </row>
    <row r="658" spans="1:3" x14ac:dyDescent="0.3">
      <c r="A658" s="6" t="s">
        <v>657</v>
      </c>
      <c r="B658" s="10">
        <v>5.4802</v>
      </c>
      <c r="C658" s="7">
        <f t="shared" si="10"/>
        <v>-0.57511928736007256</v>
      </c>
    </row>
    <row r="659" spans="1:3" x14ac:dyDescent="0.3">
      <c r="A659" s="6" t="s">
        <v>658</v>
      </c>
      <c r="B659" s="10">
        <v>5.4638</v>
      </c>
      <c r="C659" s="7">
        <f t="shared" si="10"/>
        <v>-0.29925915112587076</v>
      </c>
    </row>
    <row r="660" spans="1:3" x14ac:dyDescent="0.3">
      <c r="A660" s="6" t="s">
        <v>659</v>
      </c>
      <c r="B660" s="10">
        <v>5.4253999999999998</v>
      </c>
      <c r="C660" s="7">
        <f t="shared" si="10"/>
        <v>-0.7028075698232038</v>
      </c>
    </row>
    <row r="661" spans="1:3" x14ac:dyDescent="0.3">
      <c r="A661" s="6" t="s">
        <v>660</v>
      </c>
      <c r="B661" s="10">
        <v>5.4473000000000003</v>
      </c>
      <c r="C661" s="7">
        <f t="shared" si="10"/>
        <v>0.40365687322594607</v>
      </c>
    </row>
    <row r="662" spans="1:3" x14ac:dyDescent="0.3">
      <c r="A662" s="6" t="s">
        <v>661</v>
      </c>
      <c r="B662" s="10">
        <v>5.4051999999999998</v>
      </c>
      <c r="C662" s="7">
        <f t="shared" si="10"/>
        <v>-0.7728599489655511</v>
      </c>
    </row>
    <row r="663" spans="1:3" x14ac:dyDescent="0.3">
      <c r="A663" s="6" t="s">
        <v>662</v>
      </c>
      <c r="B663" s="10">
        <v>5.3928000000000003</v>
      </c>
      <c r="C663" s="7">
        <f t="shared" si="10"/>
        <v>-0.22940871753125736</v>
      </c>
    </row>
    <row r="664" spans="1:3" x14ac:dyDescent="0.3">
      <c r="A664" s="6" t="s">
        <v>663</v>
      </c>
      <c r="B664" s="10">
        <v>5.4095000000000004</v>
      </c>
      <c r="C664" s="7">
        <f t="shared" si="10"/>
        <v>0.30967215546655097</v>
      </c>
    </row>
    <row r="665" spans="1:3" x14ac:dyDescent="0.3">
      <c r="A665" s="6" t="s">
        <v>664</v>
      </c>
      <c r="B665" s="10">
        <v>5.3928000000000003</v>
      </c>
      <c r="C665" s="7">
        <f t="shared" si="10"/>
        <v>-0.30871614751825782</v>
      </c>
    </row>
    <row r="666" spans="1:3" x14ac:dyDescent="0.3">
      <c r="A666" s="6" t="s">
        <v>665</v>
      </c>
      <c r="B666" s="10">
        <v>5.4154999999999998</v>
      </c>
      <c r="C666" s="7">
        <f t="shared" si="10"/>
        <v>0.42093161252038824</v>
      </c>
    </row>
    <row r="667" spans="1:3" x14ac:dyDescent="0.3">
      <c r="A667" s="6" t="s">
        <v>666</v>
      </c>
      <c r="B667" s="10">
        <v>5.4715999999999996</v>
      </c>
      <c r="C667" s="7">
        <f t="shared" si="10"/>
        <v>1.0359154279383218</v>
      </c>
    </row>
    <row r="668" spans="1:3" x14ac:dyDescent="0.3">
      <c r="A668" s="6" t="s">
        <v>667</v>
      </c>
      <c r="B668" s="10">
        <v>5.4725999999999999</v>
      </c>
      <c r="C668" s="7">
        <f t="shared" si="10"/>
        <v>1.8276189779960782E-2</v>
      </c>
    </row>
    <row r="669" spans="1:3" x14ac:dyDescent="0.3">
      <c r="A669" s="6" t="s">
        <v>668</v>
      </c>
      <c r="B669" s="10">
        <v>5.4828000000000001</v>
      </c>
      <c r="C669" s="7">
        <f t="shared" si="10"/>
        <v>0.18638307203157931</v>
      </c>
    </row>
    <row r="670" spans="1:3" x14ac:dyDescent="0.3">
      <c r="A670" s="6" t="s">
        <v>669</v>
      </c>
      <c r="B670" s="10">
        <v>5.4391999999999996</v>
      </c>
      <c r="C670" s="7">
        <f t="shared" si="10"/>
        <v>-0.7952141241701417</v>
      </c>
    </row>
    <row r="671" spans="1:3" x14ac:dyDescent="0.3">
      <c r="A671" s="6" t="s">
        <v>670</v>
      </c>
      <c r="B671" s="10">
        <v>5.4173999999999998</v>
      </c>
      <c r="C671" s="7">
        <f t="shared" si="10"/>
        <v>-0.4007942344462388</v>
      </c>
    </row>
    <row r="672" spans="1:3" x14ac:dyDescent="0.3">
      <c r="A672" s="6" t="s">
        <v>671</v>
      </c>
      <c r="B672" s="10">
        <v>5.4218000000000002</v>
      </c>
      <c r="C672" s="7">
        <f t="shared" si="10"/>
        <v>8.1219773323003716E-2</v>
      </c>
    </row>
    <row r="673" spans="1:3" x14ac:dyDescent="0.3">
      <c r="A673" s="6" t="s">
        <v>672</v>
      </c>
      <c r="B673" s="10">
        <v>5.4428000000000001</v>
      </c>
      <c r="C673" s="7">
        <f t="shared" si="10"/>
        <v>0.38732524253937634</v>
      </c>
    </row>
    <row r="674" spans="1:3" x14ac:dyDescent="0.3">
      <c r="A674" s="6" t="s">
        <v>673</v>
      </c>
      <c r="B674" s="10">
        <v>5.4115000000000002</v>
      </c>
      <c r="C674" s="7">
        <f t="shared" si="10"/>
        <v>-0.57507165429558105</v>
      </c>
    </row>
    <row r="675" spans="1:3" x14ac:dyDescent="0.3">
      <c r="A675" s="6" t="s">
        <v>674</v>
      </c>
      <c r="B675" s="10">
        <v>5.4264000000000001</v>
      </c>
      <c r="C675" s="7">
        <f t="shared" si="10"/>
        <v>0.27533955465212812</v>
      </c>
    </row>
    <row r="676" spans="1:3" x14ac:dyDescent="0.3">
      <c r="A676" s="6" t="s">
        <v>675</v>
      </c>
      <c r="B676" s="10">
        <v>5.4378000000000002</v>
      </c>
      <c r="C676" s="7">
        <f t="shared" si="10"/>
        <v>0.2100840336134468</v>
      </c>
    </row>
    <row r="677" spans="1:3" x14ac:dyDescent="0.3">
      <c r="A677" s="6" t="s">
        <v>676</v>
      </c>
      <c r="B677" s="10">
        <v>5.468</v>
      </c>
      <c r="C677" s="7">
        <f t="shared" si="10"/>
        <v>0.55537165765566554</v>
      </c>
    </row>
    <row r="678" spans="1:3" x14ac:dyDescent="0.3">
      <c r="A678" s="6" t="s">
        <v>677</v>
      </c>
      <c r="B678" s="10">
        <v>5.4485000000000001</v>
      </c>
      <c r="C678" s="7">
        <f t="shared" si="10"/>
        <v>-0.35662033650328917</v>
      </c>
    </row>
    <row r="679" spans="1:3" x14ac:dyDescent="0.3">
      <c r="A679" s="6" t="s">
        <v>678</v>
      </c>
      <c r="B679" s="10">
        <v>5.4587000000000003</v>
      </c>
      <c r="C679" s="7">
        <f t="shared" si="10"/>
        <v>0.18720748829953582</v>
      </c>
    </row>
    <row r="680" spans="1:3" x14ac:dyDescent="0.3">
      <c r="A680" s="6" t="s">
        <v>679</v>
      </c>
      <c r="B680" s="10">
        <v>5.3967999999999998</v>
      </c>
      <c r="C680" s="7">
        <f t="shared" si="10"/>
        <v>-1.1339696264678496</v>
      </c>
    </row>
    <row r="681" spans="1:3" x14ac:dyDescent="0.3">
      <c r="A681" s="6" t="s">
        <v>680</v>
      </c>
      <c r="B681" s="10">
        <v>5.4278000000000004</v>
      </c>
      <c r="C681" s="7">
        <f t="shared" si="10"/>
        <v>0.57441446783280059</v>
      </c>
    </row>
    <row r="682" spans="1:3" x14ac:dyDescent="0.3">
      <c r="A682" s="6" t="s">
        <v>681</v>
      </c>
      <c r="B682" s="10">
        <v>5.4278000000000004</v>
      </c>
      <c r="C682" s="7">
        <f t="shared" si="10"/>
        <v>0</v>
      </c>
    </row>
    <row r="683" spans="1:3" x14ac:dyDescent="0.3">
      <c r="A683" s="6" t="s">
        <v>682</v>
      </c>
      <c r="B683" s="10">
        <v>5.4123000000000001</v>
      </c>
      <c r="C683" s="7">
        <f t="shared" si="10"/>
        <v>-0.2855668963484338</v>
      </c>
    </row>
    <row r="684" spans="1:3" x14ac:dyDescent="0.3">
      <c r="A684" s="6" t="s">
        <v>683</v>
      </c>
      <c r="B684" s="10">
        <v>5.3857999999999997</v>
      </c>
      <c r="C684" s="7">
        <f t="shared" si="10"/>
        <v>-0.48962548269682776</v>
      </c>
    </row>
    <row r="685" spans="1:3" x14ac:dyDescent="0.3">
      <c r="A685" s="6" t="s">
        <v>684</v>
      </c>
      <c r="B685" s="10">
        <v>5.3677000000000001</v>
      </c>
      <c r="C685" s="7">
        <f t="shared" si="10"/>
        <v>-0.33606892198001337</v>
      </c>
    </row>
    <row r="686" spans="1:3" x14ac:dyDescent="0.3">
      <c r="A686" s="6" t="s">
        <v>685</v>
      </c>
      <c r="B686" s="10">
        <v>5.3208000000000002</v>
      </c>
      <c r="C686" s="7">
        <f t="shared" si="10"/>
        <v>-0.87374480690053358</v>
      </c>
    </row>
    <row r="687" spans="1:3" x14ac:dyDescent="0.3">
      <c r="A687" s="6" t="s">
        <v>686</v>
      </c>
      <c r="B687" s="10">
        <v>5.3095999999999997</v>
      </c>
      <c r="C687" s="7">
        <f t="shared" si="10"/>
        <v>-0.21049466245678361</v>
      </c>
    </row>
    <row r="688" spans="1:3" x14ac:dyDescent="0.3">
      <c r="A688" s="6" t="s">
        <v>687</v>
      </c>
      <c r="B688" s="10">
        <v>5.3010999999999999</v>
      </c>
      <c r="C688" s="7">
        <f t="shared" si="10"/>
        <v>-0.16008738888051324</v>
      </c>
    </row>
    <row r="689" spans="1:3" x14ac:dyDescent="0.3">
      <c r="A689" s="6" t="s">
        <v>688</v>
      </c>
      <c r="B689" s="10">
        <v>5.3010000000000002</v>
      </c>
      <c r="C689" s="7">
        <f t="shared" si="10"/>
        <v>-1.8864009356504678E-3</v>
      </c>
    </row>
    <row r="690" spans="1:3" x14ac:dyDescent="0.3">
      <c r="A690" s="6" t="s">
        <v>689</v>
      </c>
      <c r="B690" s="10">
        <v>5.3276000000000003</v>
      </c>
      <c r="C690" s="7">
        <f t="shared" si="10"/>
        <v>0.5017921146953439</v>
      </c>
    </row>
    <row r="691" spans="1:3" x14ac:dyDescent="0.3">
      <c r="A691" s="6" t="s">
        <v>690</v>
      </c>
      <c r="B691" s="10">
        <v>5.3456999999999999</v>
      </c>
      <c r="C691" s="7">
        <f t="shared" si="10"/>
        <v>0.33974022073728433</v>
      </c>
    </row>
    <row r="692" spans="1:3" x14ac:dyDescent="0.3">
      <c r="A692" s="6" t="s">
        <v>691</v>
      </c>
      <c r="B692" s="10">
        <v>5.3063000000000002</v>
      </c>
      <c r="C692" s="7">
        <f t="shared" si="10"/>
        <v>-0.73704098621321168</v>
      </c>
    </row>
    <row r="693" spans="1:3" x14ac:dyDescent="0.3">
      <c r="A693" s="6" t="s">
        <v>692</v>
      </c>
      <c r="B693" s="10">
        <v>5.3112000000000004</v>
      </c>
      <c r="C693" s="7">
        <f t="shared" si="10"/>
        <v>9.2343063905171704E-2</v>
      </c>
    </row>
    <row r="694" spans="1:3" x14ac:dyDescent="0.3">
      <c r="A694" s="6" t="s">
        <v>693</v>
      </c>
      <c r="B694" s="10">
        <v>5.3425000000000002</v>
      </c>
      <c r="C694" s="7">
        <f t="shared" si="10"/>
        <v>0.58932068082542322</v>
      </c>
    </row>
    <row r="695" spans="1:3" x14ac:dyDescent="0.3">
      <c r="A695" s="6" t="s">
        <v>694</v>
      </c>
      <c r="B695" s="10">
        <v>5.3445</v>
      </c>
      <c r="C695" s="7">
        <f t="shared" si="10"/>
        <v>3.7435657463730079E-2</v>
      </c>
    </row>
    <row r="696" spans="1:3" x14ac:dyDescent="0.3">
      <c r="A696" s="6" t="s">
        <v>695</v>
      </c>
      <c r="B696" s="10">
        <v>5.3228999999999997</v>
      </c>
      <c r="C696" s="7">
        <f t="shared" si="10"/>
        <v>-0.4041538029750264</v>
      </c>
    </row>
    <row r="697" spans="1:3" x14ac:dyDescent="0.3">
      <c r="A697" s="6" t="s">
        <v>696</v>
      </c>
      <c r="B697" s="10">
        <v>5.3186</v>
      </c>
      <c r="C697" s="7">
        <f t="shared" si="10"/>
        <v>-8.0783031805965716E-2</v>
      </c>
    </row>
    <row r="698" spans="1:3" x14ac:dyDescent="0.3">
      <c r="A698" s="6" t="s">
        <v>697</v>
      </c>
      <c r="B698" s="10">
        <v>5.3208000000000002</v>
      </c>
      <c r="C698" s="7">
        <f t="shared" si="10"/>
        <v>4.136426879254318E-2</v>
      </c>
    </row>
    <row r="699" spans="1:3" x14ac:dyDescent="0.3">
      <c r="A699" s="6" t="s">
        <v>698</v>
      </c>
      <c r="B699" s="10">
        <v>5.3449</v>
      </c>
      <c r="C699" s="7">
        <f t="shared" si="10"/>
        <v>0.45293940760787449</v>
      </c>
    </row>
    <row r="700" spans="1:3" x14ac:dyDescent="0.3">
      <c r="A700" s="6" t="s">
        <v>699</v>
      </c>
      <c r="B700" s="10">
        <v>5.3498000000000001</v>
      </c>
      <c r="C700" s="7">
        <f t="shared" si="10"/>
        <v>9.1676177290503591E-2</v>
      </c>
    </row>
    <row r="701" spans="1:3" x14ac:dyDescent="0.3">
      <c r="A701" s="6" t="s">
        <v>700</v>
      </c>
      <c r="B701" s="10">
        <v>5.3226000000000004</v>
      </c>
      <c r="C701" s="7">
        <f t="shared" si="10"/>
        <v>-0.50843022169052432</v>
      </c>
    </row>
    <row r="702" spans="1:3" x14ac:dyDescent="0.3">
      <c r="A702" s="6" t="s">
        <v>701</v>
      </c>
      <c r="B702" s="10">
        <v>5.3362999999999996</v>
      </c>
      <c r="C702" s="7">
        <f t="shared" si="10"/>
        <v>0.25739300341936566</v>
      </c>
    </row>
    <row r="703" spans="1:3" x14ac:dyDescent="0.3">
      <c r="A703" s="6" t="s">
        <v>702</v>
      </c>
      <c r="B703" s="10">
        <v>5.3426999999999998</v>
      </c>
      <c r="C703" s="7">
        <f t="shared" si="10"/>
        <v>0.11993328710904903</v>
      </c>
    </row>
    <row r="704" spans="1:3" x14ac:dyDescent="0.3">
      <c r="A704" s="6" t="s">
        <v>703</v>
      </c>
      <c r="B704" s="10">
        <v>5.3537999999999997</v>
      </c>
      <c r="C704" s="7">
        <f t="shared" si="10"/>
        <v>0.20776012128698762</v>
      </c>
    </row>
    <row r="705" spans="1:3" x14ac:dyDescent="0.3">
      <c r="A705" s="6" t="s">
        <v>704</v>
      </c>
      <c r="B705" s="10">
        <v>5.4446000000000003</v>
      </c>
      <c r="C705" s="7">
        <f t="shared" si="10"/>
        <v>1.6959916321117836</v>
      </c>
    </row>
    <row r="706" spans="1:3" x14ac:dyDescent="0.3">
      <c r="A706" s="6" t="s">
        <v>705</v>
      </c>
      <c r="B706" s="10">
        <v>5.4629000000000003</v>
      </c>
      <c r="C706" s="7">
        <f t="shared" si="10"/>
        <v>0.33611284575542705</v>
      </c>
    </row>
    <row r="707" spans="1:3" x14ac:dyDescent="0.3">
      <c r="A707" s="6" t="s">
        <v>706</v>
      </c>
      <c r="B707" s="10">
        <v>5.4981999999999998</v>
      </c>
      <c r="C707" s="7">
        <f t="shared" si="10"/>
        <v>0.64617693898843909</v>
      </c>
    </row>
    <row r="708" spans="1:3" x14ac:dyDescent="0.3">
      <c r="A708" s="6" t="s">
        <v>707</v>
      </c>
      <c r="B708" s="10">
        <v>5.4463999999999997</v>
      </c>
      <c r="C708" s="7">
        <f t="shared" si="10"/>
        <v>-0.94212651413189896</v>
      </c>
    </row>
    <row r="709" spans="1:3" x14ac:dyDescent="0.3">
      <c r="A709" s="6" t="s">
        <v>708</v>
      </c>
      <c r="B709" s="10">
        <v>5.4353999999999996</v>
      </c>
      <c r="C709" s="7">
        <f t="shared" si="10"/>
        <v>-0.20196827262044878</v>
      </c>
    </row>
    <row r="710" spans="1:3" x14ac:dyDescent="0.3">
      <c r="A710" s="6" t="s">
        <v>709</v>
      </c>
      <c r="B710" s="10">
        <v>5.4390000000000001</v>
      </c>
      <c r="C710" s="7">
        <f t="shared" si="10"/>
        <v>6.6232475990736506E-2</v>
      </c>
    </row>
    <row r="711" spans="1:3" x14ac:dyDescent="0.3">
      <c r="A711" s="6" t="s">
        <v>710</v>
      </c>
      <c r="B711" s="10">
        <v>5.3771000000000004</v>
      </c>
      <c r="C711" s="7">
        <f t="shared" si="10"/>
        <v>-1.1380768523625597</v>
      </c>
    </row>
    <row r="712" spans="1:3" x14ac:dyDescent="0.3">
      <c r="A712" s="6" t="s">
        <v>711</v>
      </c>
      <c r="B712" s="10">
        <v>5.3848000000000003</v>
      </c>
      <c r="C712" s="7">
        <f t="shared" si="10"/>
        <v>0.1431998660988231</v>
      </c>
    </row>
    <row r="713" spans="1:3" x14ac:dyDescent="0.3">
      <c r="A713" s="6" t="s">
        <v>712</v>
      </c>
      <c r="B713" s="10">
        <v>5.3898000000000001</v>
      </c>
      <c r="C713" s="7">
        <f t="shared" ref="C713:C776" si="11">(B713-B712)/B712*100</f>
        <v>9.2853959292822266E-2</v>
      </c>
    </row>
    <row r="714" spans="1:3" x14ac:dyDescent="0.3">
      <c r="A714" s="6" t="s">
        <v>713</v>
      </c>
      <c r="B714" s="10">
        <v>5.3840000000000003</v>
      </c>
      <c r="C714" s="7">
        <f t="shared" si="11"/>
        <v>-0.10761067201008952</v>
      </c>
    </row>
    <row r="715" spans="1:3" x14ac:dyDescent="0.3">
      <c r="A715" s="6" t="s">
        <v>714</v>
      </c>
      <c r="B715" s="10">
        <v>5.3796999999999997</v>
      </c>
      <c r="C715" s="7">
        <f t="shared" si="11"/>
        <v>-7.9866270430918207E-2</v>
      </c>
    </row>
    <row r="716" spans="1:3" x14ac:dyDescent="0.3">
      <c r="A716" s="6" t="s">
        <v>715</v>
      </c>
      <c r="B716" s="10">
        <v>5.3743999999999996</v>
      </c>
      <c r="C716" s="7">
        <f t="shared" si="11"/>
        <v>-9.8518504749337016E-2</v>
      </c>
    </row>
    <row r="717" spans="1:3" x14ac:dyDescent="0.3">
      <c r="A717" s="6" t="s">
        <v>716</v>
      </c>
      <c r="B717" s="10">
        <v>5.3689999999999998</v>
      </c>
      <c r="C717" s="7">
        <f t="shared" si="11"/>
        <v>-0.10047633224173581</v>
      </c>
    </row>
    <row r="718" spans="1:3" x14ac:dyDescent="0.3">
      <c r="A718" s="6" t="s">
        <v>717</v>
      </c>
      <c r="B718" s="10">
        <v>5.3415999999999997</v>
      </c>
      <c r="C718" s="7">
        <f t="shared" si="11"/>
        <v>-0.51033712050661373</v>
      </c>
    </row>
    <row r="719" spans="1:3" x14ac:dyDescent="0.3">
      <c r="A719" s="6" t="s">
        <v>718</v>
      </c>
      <c r="B719" s="10">
        <v>5.3849999999999998</v>
      </c>
      <c r="C719" s="7">
        <f t="shared" si="11"/>
        <v>0.81249063950876343</v>
      </c>
    </row>
    <row r="720" spans="1:3" x14ac:dyDescent="0.3">
      <c r="A720" s="6" t="s">
        <v>719</v>
      </c>
      <c r="B720" s="10">
        <v>5.3842999999999996</v>
      </c>
      <c r="C720" s="7">
        <f t="shared" si="11"/>
        <v>-1.2999071494895913E-2</v>
      </c>
    </row>
    <row r="721" spans="1:3" x14ac:dyDescent="0.3">
      <c r="A721" s="6" t="s">
        <v>720</v>
      </c>
      <c r="B721" s="10">
        <v>5.3505000000000003</v>
      </c>
      <c r="C721" s="7">
        <f t="shared" si="11"/>
        <v>-0.62775105399029374</v>
      </c>
    </row>
    <row r="722" spans="1:3" x14ac:dyDescent="0.3">
      <c r="A722" s="6" t="s">
        <v>721</v>
      </c>
      <c r="B722" s="10">
        <v>5.3845999999999998</v>
      </c>
      <c r="C722" s="7">
        <f t="shared" si="11"/>
        <v>0.63732361461544851</v>
      </c>
    </row>
    <row r="723" spans="1:3" x14ac:dyDescent="0.3">
      <c r="A723" s="6" t="s">
        <v>722</v>
      </c>
      <c r="B723" s="10">
        <v>5.3798000000000004</v>
      </c>
      <c r="C723" s="7">
        <f t="shared" si="11"/>
        <v>-8.9143111837452577E-2</v>
      </c>
    </row>
    <row r="724" spans="1:3" x14ac:dyDescent="0.3">
      <c r="A724" s="6" t="s">
        <v>723</v>
      </c>
      <c r="B724" s="10">
        <v>5.3451000000000004</v>
      </c>
      <c r="C724" s="7">
        <f t="shared" si="11"/>
        <v>-0.6450053905349632</v>
      </c>
    </row>
    <row r="725" spans="1:3" x14ac:dyDescent="0.3">
      <c r="A725" s="6" t="s">
        <v>724</v>
      </c>
      <c r="B725" s="10">
        <v>5.3567</v>
      </c>
      <c r="C725" s="7">
        <f t="shared" si="11"/>
        <v>0.2170211969841464</v>
      </c>
    </row>
    <row r="726" spans="1:3" x14ac:dyDescent="0.3">
      <c r="A726" s="6" t="s">
        <v>725</v>
      </c>
      <c r="B726" s="10">
        <v>5.3181000000000003</v>
      </c>
      <c r="C726" s="7">
        <f t="shared" si="11"/>
        <v>-0.72059290234658924</v>
      </c>
    </row>
    <row r="727" spans="1:3" x14ac:dyDescent="0.3">
      <c r="A727" s="6" t="s">
        <v>726</v>
      </c>
      <c r="B727" s="10">
        <v>5.2728999999999999</v>
      </c>
      <c r="C727" s="7">
        <f t="shared" si="11"/>
        <v>-0.84992760572385528</v>
      </c>
    </row>
    <row r="728" spans="1:3" x14ac:dyDescent="0.3">
      <c r="A728" s="6" t="s">
        <v>727</v>
      </c>
      <c r="B728" s="10">
        <v>5.2885</v>
      </c>
      <c r="C728" s="7">
        <f t="shared" si="11"/>
        <v>0.29585237724971192</v>
      </c>
    </row>
    <row r="729" spans="1:3" x14ac:dyDescent="0.3">
      <c r="A729" s="6" t="s">
        <v>728</v>
      </c>
      <c r="B729" s="10">
        <v>5.282</v>
      </c>
      <c r="C729" s="7">
        <f t="shared" si="11"/>
        <v>-0.12290819703129338</v>
      </c>
    </row>
    <row r="730" spans="1:3" x14ac:dyDescent="0.3">
      <c r="A730" s="6" t="s">
        <v>729</v>
      </c>
      <c r="B730" s="10">
        <v>5.2952000000000004</v>
      </c>
      <c r="C730" s="7">
        <f t="shared" si="11"/>
        <v>0.24990533888679142</v>
      </c>
    </row>
    <row r="731" spans="1:3" x14ac:dyDescent="0.3">
      <c r="A731" s="6" t="s">
        <v>730</v>
      </c>
      <c r="B731" s="10">
        <v>5.3108000000000004</v>
      </c>
      <c r="C731" s="7">
        <f t="shared" si="11"/>
        <v>0.2946064360175264</v>
      </c>
    </row>
    <row r="732" spans="1:3" x14ac:dyDescent="0.3">
      <c r="A732" s="6" t="s">
        <v>731</v>
      </c>
      <c r="B732" s="10">
        <v>5.3361000000000001</v>
      </c>
      <c r="C732" s="7">
        <f t="shared" si="11"/>
        <v>0.4763877381938626</v>
      </c>
    </row>
    <row r="733" spans="1:3" x14ac:dyDescent="0.3">
      <c r="A733" s="6" t="s">
        <v>732</v>
      </c>
      <c r="B733" s="10">
        <v>5.3346</v>
      </c>
      <c r="C733" s="7">
        <f t="shared" si="11"/>
        <v>-2.8110417720808394E-2</v>
      </c>
    </row>
    <row r="734" spans="1:3" x14ac:dyDescent="0.3">
      <c r="A734" s="6" t="s">
        <v>733</v>
      </c>
      <c r="B734" s="10">
        <v>5.3902000000000001</v>
      </c>
      <c r="C734" s="7">
        <f t="shared" si="11"/>
        <v>1.0422524650395548</v>
      </c>
    </row>
    <row r="735" spans="1:3" x14ac:dyDescent="0.3">
      <c r="A735" s="6" t="s">
        <v>734</v>
      </c>
      <c r="B735" s="10">
        <v>5.3948</v>
      </c>
      <c r="C735" s="7">
        <f t="shared" si="11"/>
        <v>8.5340061593260685E-2</v>
      </c>
    </row>
    <row r="736" spans="1:3" x14ac:dyDescent="0.3">
      <c r="A736" s="6" t="s">
        <v>735</v>
      </c>
      <c r="B736" s="10">
        <v>5.3841000000000001</v>
      </c>
      <c r="C736" s="7">
        <f t="shared" si="11"/>
        <v>-0.19833914139541653</v>
      </c>
    </row>
    <row r="737" spans="1:3" x14ac:dyDescent="0.3">
      <c r="A737" s="6" t="s">
        <v>736</v>
      </c>
      <c r="B737" s="10">
        <v>5.3693999999999997</v>
      </c>
      <c r="C737" s="7">
        <f t="shared" si="11"/>
        <v>-0.27302613250126073</v>
      </c>
    </row>
    <row r="738" spans="1:3" x14ac:dyDescent="0.3">
      <c r="A738" s="6" t="s">
        <v>737</v>
      </c>
      <c r="B738" s="10">
        <v>5.3490000000000002</v>
      </c>
      <c r="C738" s="7">
        <f t="shared" si="11"/>
        <v>-0.37993071851602656</v>
      </c>
    </row>
    <row r="739" spans="1:3" x14ac:dyDescent="0.3">
      <c r="A739" s="6" t="s">
        <v>738</v>
      </c>
      <c r="B739" s="10">
        <v>5.3338000000000001</v>
      </c>
      <c r="C739" s="7">
        <f t="shared" si="11"/>
        <v>-0.28416526453542912</v>
      </c>
    </row>
    <row r="740" spans="1:3" x14ac:dyDescent="0.3">
      <c r="A740" s="6" t="s">
        <v>739</v>
      </c>
      <c r="B740" s="10">
        <v>5.3468999999999998</v>
      </c>
      <c r="C740" s="7">
        <f t="shared" si="11"/>
        <v>0.24560350969289563</v>
      </c>
    </row>
    <row r="741" spans="1:3" x14ac:dyDescent="0.3">
      <c r="A741" s="6" t="s">
        <v>740</v>
      </c>
      <c r="B741" s="10">
        <v>5.3464999999999998</v>
      </c>
      <c r="C741" s="7">
        <f t="shared" si="11"/>
        <v>-7.4809702818447316E-3</v>
      </c>
    </row>
    <row r="742" spans="1:3" x14ac:dyDescent="0.3">
      <c r="A742" s="6" t="s">
        <v>741</v>
      </c>
      <c r="B742" s="10">
        <v>5.3113999999999999</v>
      </c>
      <c r="C742" s="7">
        <f t="shared" si="11"/>
        <v>-0.65650425512017041</v>
      </c>
    </row>
    <row r="743" spans="1:3" x14ac:dyDescent="0.3">
      <c r="A743" s="6" t="s">
        <v>742</v>
      </c>
      <c r="B743" s="10">
        <v>5.2952000000000004</v>
      </c>
      <c r="C743" s="7">
        <f t="shared" si="11"/>
        <v>-0.30500433030838475</v>
      </c>
    </row>
    <row r="744" spans="1:3" x14ac:dyDescent="0.3">
      <c r="A744" s="6" t="s">
        <v>743</v>
      </c>
      <c r="B744" s="10">
        <v>5.3404999999999996</v>
      </c>
      <c r="C744" s="7">
        <f t="shared" si="11"/>
        <v>0.85549176612779931</v>
      </c>
    </row>
    <row r="745" spans="1:3" x14ac:dyDescent="0.3">
      <c r="A745" s="6" t="s">
        <v>744</v>
      </c>
      <c r="B745" s="10">
        <v>5.4249000000000001</v>
      </c>
      <c r="C745" s="7">
        <f t="shared" si="11"/>
        <v>1.580376369253824</v>
      </c>
    </row>
    <row r="746" spans="1:3" x14ac:dyDescent="0.3">
      <c r="A746" s="6" t="s">
        <v>745</v>
      </c>
      <c r="B746" s="10">
        <v>5.4569999999999999</v>
      </c>
      <c r="C746" s="7">
        <f t="shared" si="11"/>
        <v>0.5917159763313572</v>
      </c>
    </row>
    <row r="747" spans="1:3" x14ac:dyDescent="0.3">
      <c r="A747" s="6" t="s">
        <v>746</v>
      </c>
      <c r="B747" s="10">
        <v>5.4656000000000002</v>
      </c>
      <c r="C747" s="7">
        <f t="shared" si="11"/>
        <v>0.15759574857981282</v>
      </c>
    </row>
    <row r="748" spans="1:3" x14ac:dyDescent="0.3">
      <c r="A748" s="6" t="s">
        <v>747</v>
      </c>
      <c r="B748" s="10">
        <v>5.4237000000000002</v>
      </c>
      <c r="C748" s="7">
        <f t="shared" si="11"/>
        <v>-0.76661299765808044</v>
      </c>
    </row>
    <row r="749" spans="1:3" x14ac:dyDescent="0.3">
      <c r="A749" s="6" t="s">
        <v>748</v>
      </c>
      <c r="B749" s="10">
        <v>5.4010999999999996</v>
      </c>
      <c r="C749" s="7">
        <f t="shared" si="11"/>
        <v>-0.41668971366411522</v>
      </c>
    </row>
    <row r="750" spans="1:3" x14ac:dyDescent="0.3">
      <c r="A750" s="6" t="s">
        <v>749</v>
      </c>
      <c r="B750" s="10">
        <v>5.3929</v>
      </c>
      <c r="C750" s="7">
        <f t="shared" si="11"/>
        <v>-0.15182092536704636</v>
      </c>
    </row>
    <row r="751" spans="1:3" x14ac:dyDescent="0.3">
      <c r="A751" s="6" t="s">
        <v>750</v>
      </c>
      <c r="B751" s="10">
        <v>5.4504999999999999</v>
      </c>
      <c r="C751" s="7">
        <f t="shared" si="11"/>
        <v>1.0680709822173575</v>
      </c>
    </row>
    <row r="752" spans="1:3" x14ac:dyDescent="0.3">
      <c r="A752" s="6" t="s">
        <v>751</v>
      </c>
      <c r="B752" s="10">
        <v>5.5092999999999996</v>
      </c>
      <c r="C752" s="7">
        <f t="shared" si="11"/>
        <v>1.0788001100816391</v>
      </c>
    </row>
    <row r="753" spans="1:3" x14ac:dyDescent="0.3">
      <c r="A753" s="6" t="s">
        <v>752</v>
      </c>
      <c r="B753" s="10">
        <v>5.5282999999999998</v>
      </c>
      <c r="C753" s="7">
        <f t="shared" si="11"/>
        <v>0.34487139927032706</v>
      </c>
    </row>
    <row r="754" spans="1:3" x14ac:dyDescent="0.3">
      <c r="A754" s="6" t="s">
        <v>753</v>
      </c>
      <c r="B754" s="10">
        <v>5.516</v>
      </c>
      <c r="C754" s="7">
        <f t="shared" si="11"/>
        <v>-0.22249154351246778</v>
      </c>
    </row>
    <row r="755" spans="1:3" x14ac:dyDescent="0.3">
      <c r="A755" s="6" t="s">
        <v>754</v>
      </c>
      <c r="B755" s="10">
        <v>5.5388999999999999</v>
      </c>
      <c r="C755" s="7">
        <f t="shared" si="11"/>
        <v>0.41515591007976654</v>
      </c>
    </row>
    <row r="756" spans="1:3" x14ac:dyDescent="0.3">
      <c r="A756" s="6" t="s">
        <v>755</v>
      </c>
      <c r="B756" s="10">
        <v>5.5643000000000002</v>
      </c>
      <c r="C756" s="7">
        <f t="shared" si="11"/>
        <v>0.45857480727220773</v>
      </c>
    </row>
    <row r="757" spans="1:3" x14ac:dyDescent="0.3">
      <c r="A757" s="6" t="s">
        <v>756</v>
      </c>
      <c r="B757" s="10">
        <v>5.5350000000000001</v>
      </c>
      <c r="C757" s="7">
        <f t="shared" si="11"/>
        <v>-0.52657117696745503</v>
      </c>
    </row>
    <row r="758" spans="1:3" x14ac:dyDescent="0.3">
      <c r="A758" s="6" t="s">
        <v>757</v>
      </c>
      <c r="B758" s="10">
        <v>5.5412999999999997</v>
      </c>
      <c r="C758" s="7">
        <f t="shared" si="11"/>
        <v>0.11382113821137359</v>
      </c>
    </row>
    <row r="759" spans="1:3" x14ac:dyDescent="0.3">
      <c r="A759" s="6" t="s">
        <v>758</v>
      </c>
      <c r="B759" s="10">
        <v>5.5739000000000001</v>
      </c>
      <c r="C759" s="7">
        <f t="shared" si="11"/>
        <v>0.58830960243986796</v>
      </c>
    </row>
    <row r="760" spans="1:3" x14ac:dyDescent="0.3">
      <c r="A760" s="6" t="s">
        <v>759</v>
      </c>
      <c r="B760" s="10">
        <v>5.5023999999999997</v>
      </c>
      <c r="C760" s="7">
        <f t="shared" si="11"/>
        <v>-1.2827643122409864</v>
      </c>
    </row>
    <row r="761" spans="1:3" x14ac:dyDescent="0.3">
      <c r="A761" s="6" t="s">
        <v>760</v>
      </c>
      <c r="B761" s="10">
        <v>5.5023999999999997</v>
      </c>
      <c r="C761" s="7">
        <f t="shared" si="11"/>
        <v>0</v>
      </c>
    </row>
    <row r="762" spans="1:3" x14ac:dyDescent="0.3">
      <c r="A762" s="6" t="s">
        <v>761</v>
      </c>
      <c r="B762" s="10">
        <v>5.4371999999999998</v>
      </c>
      <c r="C762" s="7">
        <f t="shared" si="11"/>
        <v>-1.1849374818261109</v>
      </c>
    </row>
    <row r="763" spans="1:3" x14ac:dyDescent="0.3">
      <c r="A763" s="6" t="s">
        <v>762</v>
      </c>
      <c r="B763" s="10">
        <v>5.4351000000000003</v>
      </c>
      <c r="C763" s="7">
        <f t="shared" si="11"/>
        <v>-3.8622820569402389E-2</v>
      </c>
    </row>
    <row r="764" spans="1:3" x14ac:dyDescent="0.3">
      <c r="A764" s="6" t="s">
        <v>763</v>
      </c>
      <c r="B764" s="10">
        <v>5.3796999999999997</v>
      </c>
      <c r="C764" s="7">
        <f t="shared" si="11"/>
        <v>-1.0193004728523958</v>
      </c>
    </row>
    <row r="765" spans="1:3" x14ac:dyDescent="0.3">
      <c r="A765" s="6" t="s">
        <v>764</v>
      </c>
      <c r="B765" s="10">
        <v>5.3879999999999999</v>
      </c>
      <c r="C765" s="7">
        <f t="shared" si="11"/>
        <v>0.1542836961168875</v>
      </c>
    </row>
    <row r="766" spans="1:3" x14ac:dyDescent="0.3">
      <c r="A766" s="6" t="s">
        <v>765</v>
      </c>
      <c r="B766" s="10">
        <v>5.3860000000000001</v>
      </c>
      <c r="C766" s="7">
        <f t="shared" si="11"/>
        <v>-3.7119524870077573E-2</v>
      </c>
    </row>
    <row r="767" spans="1:3" x14ac:dyDescent="0.3">
      <c r="A767" s="6" t="s">
        <v>766</v>
      </c>
      <c r="B767" s="10">
        <v>5.3707000000000003</v>
      </c>
      <c r="C767" s="7">
        <f t="shared" si="11"/>
        <v>-0.28406981062012382</v>
      </c>
    </row>
    <row r="768" spans="1:3" x14ac:dyDescent="0.3">
      <c r="A768" s="6" t="s">
        <v>767</v>
      </c>
      <c r="B768" s="10">
        <v>5.3760000000000003</v>
      </c>
      <c r="C768" s="7">
        <f t="shared" si="11"/>
        <v>9.8683598041225201E-2</v>
      </c>
    </row>
    <row r="769" spans="1:3" x14ac:dyDescent="0.3">
      <c r="A769" s="6" t="s">
        <v>768</v>
      </c>
      <c r="B769" s="10">
        <v>5.3764000000000003</v>
      </c>
      <c r="C769" s="7">
        <f t="shared" si="11"/>
        <v>7.4404761904753713E-3</v>
      </c>
    </row>
    <row r="770" spans="1:3" x14ac:dyDescent="0.3">
      <c r="A770" s="6" t="s">
        <v>769</v>
      </c>
      <c r="B770" s="10">
        <v>5.3795000000000002</v>
      </c>
      <c r="C770" s="7">
        <f t="shared" si="11"/>
        <v>5.765940034223422E-2</v>
      </c>
    </row>
    <row r="771" spans="1:3" x14ac:dyDescent="0.3">
      <c r="A771" s="6" t="s">
        <v>770</v>
      </c>
      <c r="B771" s="10">
        <v>5.3845999999999998</v>
      </c>
      <c r="C771" s="7">
        <f t="shared" si="11"/>
        <v>9.4804349846633704E-2</v>
      </c>
    </row>
    <row r="772" spans="1:3" x14ac:dyDescent="0.3">
      <c r="A772" s="6" t="s">
        <v>771</v>
      </c>
      <c r="B772" s="10">
        <v>5.3798000000000004</v>
      </c>
      <c r="C772" s="7">
        <f t="shared" si="11"/>
        <v>-8.9143111837452577E-2</v>
      </c>
    </row>
    <row r="773" spans="1:3" x14ac:dyDescent="0.3">
      <c r="A773" s="6" t="s">
        <v>772</v>
      </c>
      <c r="B773" s="10">
        <v>5.3653000000000004</v>
      </c>
      <c r="C773" s="7">
        <f t="shared" si="11"/>
        <v>-0.26952674820625222</v>
      </c>
    </row>
    <row r="774" spans="1:3" x14ac:dyDescent="0.3">
      <c r="A774" s="6" t="s">
        <v>773</v>
      </c>
      <c r="B774" s="10">
        <v>5.3789999999999996</v>
      </c>
      <c r="C774" s="7">
        <f t="shared" si="11"/>
        <v>0.25534452873090335</v>
      </c>
    </row>
    <row r="775" spans="1:3" x14ac:dyDescent="0.3">
      <c r="A775" s="6" t="s">
        <v>774</v>
      </c>
      <c r="B775" s="10">
        <v>5.3368000000000002</v>
      </c>
      <c r="C775" s="7">
        <f t="shared" si="11"/>
        <v>-0.78453244097414676</v>
      </c>
    </row>
    <row r="776" spans="1:3" x14ac:dyDescent="0.3">
      <c r="A776" s="6" t="s">
        <v>775</v>
      </c>
      <c r="B776" s="10">
        <v>5.3117999999999999</v>
      </c>
      <c r="C776" s="7">
        <f t="shared" si="11"/>
        <v>-0.46844551041823485</v>
      </c>
    </row>
    <row r="777" spans="1:3" x14ac:dyDescent="0.3">
      <c r="A777" s="6" t="s">
        <v>776</v>
      </c>
      <c r="B777" s="10">
        <v>5.2878999999999996</v>
      </c>
      <c r="C777" s="7">
        <f t="shared" ref="C777:C840" si="12">(B777-B776)/B776*100</f>
        <v>-0.44994163936895698</v>
      </c>
    </row>
    <row r="778" spans="1:3" x14ac:dyDescent="0.3">
      <c r="A778" s="6" t="s">
        <v>777</v>
      </c>
      <c r="B778" s="10">
        <v>5.2759999999999998</v>
      </c>
      <c r="C778" s="7">
        <f t="shared" si="12"/>
        <v>-0.22504207719510205</v>
      </c>
    </row>
    <row r="779" spans="1:3" x14ac:dyDescent="0.3">
      <c r="A779" s="6" t="s">
        <v>778</v>
      </c>
      <c r="B779" s="10">
        <v>5.2392000000000003</v>
      </c>
      <c r="C779" s="7">
        <f t="shared" si="12"/>
        <v>-0.69749810462470629</v>
      </c>
    </row>
    <row r="780" spans="1:3" x14ac:dyDescent="0.3">
      <c r="A780" s="6" t="s">
        <v>779</v>
      </c>
      <c r="B780" s="10">
        <v>5.1837999999999997</v>
      </c>
      <c r="C780" s="7">
        <f t="shared" si="12"/>
        <v>-1.0574133455489494</v>
      </c>
    </row>
    <row r="781" spans="1:3" x14ac:dyDescent="0.3">
      <c r="A781" s="6" t="s">
        <v>780</v>
      </c>
      <c r="B781" s="10">
        <v>5.1955999999999998</v>
      </c>
      <c r="C781" s="7">
        <f t="shared" si="12"/>
        <v>0.2276322388981063</v>
      </c>
    </row>
    <row r="782" spans="1:3" x14ac:dyDescent="0.3">
      <c r="A782" s="6" t="s">
        <v>781</v>
      </c>
      <c r="B782" s="10">
        <v>5.2301000000000002</v>
      </c>
      <c r="C782" s="7">
        <f t="shared" si="12"/>
        <v>0.66402340441913199</v>
      </c>
    </row>
    <row r="783" spans="1:3" x14ac:dyDescent="0.3">
      <c r="A783" s="6" t="s">
        <v>782</v>
      </c>
      <c r="B783" s="10">
        <v>5.2587000000000002</v>
      </c>
      <c r="C783" s="7">
        <f t="shared" si="12"/>
        <v>0.54683466855318175</v>
      </c>
    </row>
    <row r="784" spans="1:3" x14ac:dyDescent="0.3">
      <c r="A784" s="6" t="s">
        <v>783</v>
      </c>
      <c r="B784" s="10">
        <v>5.2236000000000002</v>
      </c>
      <c r="C784" s="7">
        <f t="shared" si="12"/>
        <v>-0.66746534314564265</v>
      </c>
    </row>
    <row r="785" spans="1:3" x14ac:dyDescent="0.3">
      <c r="A785" s="6" t="s">
        <v>784</v>
      </c>
      <c r="B785" s="10">
        <v>5.2359</v>
      </c>
      <c r="C785" s="7">
        <f t="shared" si="12"/>
        <v>0.2354697909487663</v>
      </c>
    </row>
    <row r="786" spans="1:3" x14ac:dyDescent="0.3">
      <c r="A786" s="6" t="s">
        <v>785</v>
      </c>
      <c r="B786" s="10">
        <v>5.258</v>
      </c>
      <c r="C786" s="7">
        <f t="shared" si="12"/>
        <v>0.42208598330754998</v>
      </c>
    </row>
    <row r="787" spans="1:3" x14ac:dyDescent="0.3">
      <c r="A787" s="6" t="s">
        <v>786</v>
      </c>
      <c r="B787" s="10">
        <v>5.2340999999999998</v>
      </c>
      <c r="C787" s="7">
        <f t="shared" si="12"/>
        <v>-0.45454545454545936</v>
      </c>
    </row>
    <row r="788" spans="1:3" x14ac:dyDescent="0.3">
      <c r="A788" s="6" t="s">
        <v>787</v>
      </c>
      <c r="B788" s="10">
        <v>5.1943000000000001</v>
      </c>
      <c r="C788" s="7">
        <f t="shared" si="12"/>
        <v>-0.76039815823158929</v>
      </c>
    </row>
    <row r="789" spans="1:3" x14ac:dyDescent="0.3">
      <c r="A789" s="6" t="s">
        <v>788</v>
      </c>
      <c r="B789" s="10">
        <v>5.2020999999999997</v>
      </c>
      <c r="C789" s="7">
        <f t="shared" si="12"/>
        <v>0.15016460350768313</v>
      </c>
    </row>
    <row r="790" spans="1:3" x14ac:dyDescent="0.3">
      <c r="A790" s="6" t="s">
        <v>789</v>
      </c>
      <c r="B790" s="10">
        <v>5.1836000000000002</v>
      </c>
      <c r="C790" s="7">
        <f t="shared" si="12"/>
        <v>-0.35562561273330995</v>
      </c>
    </row>
    <row r="791" spans="1:3" x14ac:dyDescent="0.3">
      <c r="A791" s="6" t="s">
        <v>790</v>
      </c>
      <c r="B791" s="10">
        <v>5.1673999999999998</v>
      </c>
      <c r="C791" s="7">
        <f t="shared" si="12"/>
        <v>-0.31252411451501727</v>
      </c>
    </row>
    <row r="792" spans="1:3" x14ac:dyDescent="0.3">
      <c r="A792" s="6" t="s">
        <v>791</v>
      </c>
      <c r="B792" s="10">
        <v>5.2287999999999997</v>
      </c>
      <c r="C792" s="7">
        <f t="shared" si="12"/>
        <v>1.1882184464140555</v>
      </c>
    </row>
    <row r="793" spans="1:3" x14ac:dyDescent="0.3">
      <c r="A793" s="6" t="s">
        <v>792</v>
      </c>
      <c r="B793" s="10">
        <v>5.2348999999999997</v>
      </c>
      <c r="C793" s="7">
        <f t="shared" si="12"/>
        <v>0.11666156670746625</v>
      </c>
    </row>
    <row r="794" spans="1:3" x14ac:dyDescent="0.3">
      <c r="A794" s="6" t="s">
        <v>793</v>
      </c>
      <c r="B794" s="10">
        <v>5.2256999999999998</v>
      </c>
      <c r="C794" s="7">
        <f t="shared" si="12"/>
        <v>-0.17574356721236079</v>
      </c>
    </row>
    <row r="795" spans="1:3" x14ac:dyDescent="0.3">
      <c r="A795" s="6" t="s">
        <v>794</v>
      </c>
      <c r="B795" s="10">
        <v>5.2005999999999997</v>
      </c>
      <c r="C795" s="7">
        <f t="shared" si="12"/>
        <v>-0.48031842623954918</v>
      </c>
    </row>
    <row r="796" spans="1:3" x14ac:dyDescent="0.3">
      <c r="A796" s="6" t="s">
        <v>795</v>
      </c>
      <c r="B796" s="10">
        <v>5.1635</v>
      </c>
      <c r="C796" s="7">
        <f t="shared" si="12"/>
        <v>-0.71337922547397792</v>
      </c>
    </row>
    <row r="797" spans="1:3" x14ac:dyDescent="0.3">
      <c r="A797" s="6" t="s">
        <v>796</v>
      </c>
      <c r="B797" s="10">
        <v>5.1681999999999997</v>
      </c>
      <c r="C797" s="7">
        <f t="shared" si="12"/>
        <v>9.102353055097713E-2</v>
      </c>
    </row>
    <row r="798" spans="1:3" x14ac:dyDescent="0.3">
      <c r="A798" s="6" t="s">
        <v>797</v>
      </c>
      <c r="B798" s="10">
        <v>5.1440000000000001</v>
      </c>
      <c r="C798" s="7">
        <f t="shared" si="12"/>
        <v>-0.46824813281218913</v>
      </c>
    </row>
    <row r="799" spans="1:3" x14ac:dyDescent="0.3">
      <c r="A799" s="6" t="s">
        <v>798</v>
      </c>
      <c r="B799" s="10">
        <v>5.1382000000000003</v>
      </c>
      <c r="C799" s="7">
        <f t="shared" si="12"/>
        <v>-0.11275272161741455</v>
      </c>
    </row>
    <row r="800" spans="1:3" x14ac:dyDescent="0.3">
      <c r="A800" s="6" t="s">
        <v>799</v>
      </c>
      <c r="B800" s="10">
        <v>5.1494999999999997</v>
      </c>
      <c r="C800" s="7">
        <f t="shared" si="12"/>
        <v>0.21992137324353703</v>
      </c>
    </row>
    <row r="801" spans="1:3" x14ac:dyDescent="0.3">
      <c r="A801" s="6" t="s">
        <v>800</v>
      </c>
      <c r="B801" s="10">
        <v>5.2000999999999999</v>
      </c>
      <c r="C801" s="7">
        <f t="shared" si="12"/>
        <v>0.9826196718128013</v>
      </c>
    </row>
    <row r="802" spans="1:3" x14ac:dyDescent="0.3">
      <c r="A802" s="6" t="s">
        <v>801</v>
      </c>
      <c r="B802" s="10">
        <v>5.2869999999999999</v>
      </c>
      <c r="C802" s="7">
        <f t="shared" si="12"/>
        <v>1.6711217091978998</v>
      </c>
    </row>
    <row r="803" spans="1:3" x14ac:dyDescent="0.3">
      <c r="A803" s="6" t="s">
        <v>802</v>
      </c>
      <c r="B803" s="10">
        <v>5.2091000000000003</v>
      </c>
      <c r="C803" s="7">
        <f t="shared" si="12"/>
        <v>-1.4734253830149355</v>
      </c>
    </row>
    <row r="804" spans="1:3" x14ac:dyDescent="0.3">
      <c r="A804" s="6" t="s">
        <v>803</v>
      </c>
      <c r="B804" s="10">
        <v>5.2446999999999999</v>
      </c>
      <c r="C804" s="7">
        <f t="shared" si="12"/>
        <v>0.68341940066421514</v>
      </c>
    </row>
    <row r="805" spans="1:3" x14ac:dyDescent="0.3">
      <c r="A805" s="6" t="s">
        <v>804</v>
      </c>
      <c r="B805" s="10">
        <v>5.2877999999999998</v>
      </c>
      <c r="C805" s="7">
        <f t="shared" si="12"/>
        <v>0.8217819894369538</v>
      </c>
    </row>
    <row r="806" spans="1:3" x14ac:dyDescent="0.3">
      <c r="A806" s="6" t="s">
        <v>805</v>
      </c>
      <c r="B806" s="10">
        <v>5.2138999999999998</v>
      </c>
      <c r="C806" s="7">
        <f t="shared" si="12"/>
        <v>-1.3975566398124</v>
      </c>
    </row>
    <row r="807" spans="1:3" x14ac:dyDescent="0.3">
      <c r="A807" s="6" t="s">
        <v>806</v>
      </c>
      <c r="B807" s="10">
        <v>5.1622000000000003</v>
      </c>
      <c r="C807" s="7">
        <f t="shared" si="12"/>
        <v>-0.99158019908320871</v>
      </c>
    </row>
    <row r="808" spans="1:3" x14ac:dyDescent="0.3">
      <c r="A808" s="6" t="s">
        <v>807</v>
      </c>
      <c r="B808" s="10">
        <v>5.1596000000000002</v>
      </c>
      <c r="C808" s="7">
        <f t="shared" si="12"/>
        <v>-5.0366122970829444E-2</v>
      </c>
    </row>
    <row r="809" spans="1:3" x14ac:dyDescent="0.3">
      <c r="A809" s="6" t="s">
        <v>808</v>
      </c>
      <c r="B809" s="10">
        <v>5.2050999999999998</v>
      </c>
      <c r="C809" s="7">
        <f t="shared" si="12"/>
        <v>0.88185130630280739</v>
      </c>
    </row>
    <row r="810" spans="1:3" x14ac:dyDescent="0.3">
      <c r="A810" s="6" t="s">
        <v>809</v>
      </c>
      <c r="B810" s="10">
        <v>5.2541000000000002</v>
      </c>
      <c r="C810" s="7">
        <f t="shared" si="12"/>
        <v>0.94138441144263085</v>
      </c>
    </row>
    <row r="811" spans="1:3" x14ac:dyDescent="0.3">
      <c r="A811" s="6" t="s">
        <v>810</v>
      </c>
      <c r="B811" s="10">
        <v>5.2647000000000004</v>
      </c>
      <c r="C811" s="7">
        <f t="shared" si="12"/>
        <v>0.20174720694315229</v>
      </c>
    </row>
    <row r="812" spans="1:3" x14ac:dyDescent="0.3">
      <c r="A812" s="6" t="s">
        <v>811</v>
      </c>
      <c r="B812" s="10">
        <v>5.2022000000000004</v>
      </c>
      <c r="C812" s="7">
        <f t="shared" si="12"/>
        <v>-1.1871521644158261</v>
      </c>
    </row>
    <row r="813" spans="1:3" x14ac:dyDescent="0.3">
      <c r="A813" s="6" t="s">
        <v>812</v>
      </c>
      <c r="B813" s="10">
        <v>5.2111999999999998</v>
      </c>
      <c r="C813" s="7">
        <f t="shared" si="12"/>
        <v>0.17300372919148538</v>
      </c>
    </row>
    <row r="814" spans="1:3" x14ac:dyDescent="0.3">
      <c r="A814" s="6" t="s">
        <v>813</v>
      </c>
      <c r="B814" s="10">
        <v>5.2587000000000002</v>
      </c>
      <c r="C814" s="7">
        <f t="shared" si="12"/>
        <v>0.91149831132945036</v>
      </c>
    </row>
    <row r="815" spans="1:3" x14ac:dyDescent="0.3">
      <c r="A815" s="6" t="s">
        <v>814</v>
      </c>
      <c r="B815" s="10">
        <v>5.28</v>
      </c>
      <c r="C815" s="7">
        <f t="shared" si="12"/>
        <v>0.40504307148154672</v>
      </c>
    </row>
    <row r="816" spans="1:3" x14ac:dyDescent="0.3">
      <c r="A816" s="6" t="s">
        <v>815</v>
      </c>
      <c r="B816" s="10">
        <v>5.2439999999999998</v>
      </c>
      <c r="C816" s="7">
        <f t="shared" si="12"/>
        <v>-0.68181818181819076</v>
      </c>
    </row>
    <row r="817" spans="1:3" x14ac:dyDescent="0.3">
      <c r="A817" s="6" t="s">
        <v>816</v>
      </c>
      <c r="B817" s="10">
        <v>5.2599</v>
      </c>
      <c r="C817" s="7">
        <f t="shared" si="12"/>
        <v>0.30320366132723586</v>
      </c>
    </row>
    <row r="818" spans="1:3" x14ac:dyDescent="0.3">
      <c r="A818" s="6" t="s">
        <v>817</v>
      </c>
      <c r="B818" s="10">
        <v>5.2275</v>
      </c>
      <c r="C818" s="7">
        <f t="shared" si="12"/>
        <v>-0.61598129242000765</v>
      </c>
    </row>
    <row r="819" spans="1:3" x14ac:dyDescent="0.3">
      <c r="A819" s="6" t="s">
        <v>818</v>
      </c>
      <c r="B819" s="10">
        <v>5.2308000000000003</v>
      </c>
      <c r="C819" s="7">
        <f t="shared" si="12"/>
        <v>6.3127690100436215E-2</v>
      </c>
    </row>
    <row r="820" spans="1:3" x14ac:dyDescent="0.3">
      <c r="A820" s="6" t="s">
        <v>819</v>
      </c>
      <c r="B820" s="10">
        <v>5.2375999999999996</v>
      </c>
      <c r="C820" s="7">
        <f t="shared" si="12"/>
        <v>0.12999923529860158</v>
      </c>
    </row>
    <row r="821" spans="1:3" x14ac:dyDescent="0.3">
      <c r="A821" s="6" t="s">
        <v>820</v>
      </c>
      <c r="B821" s="10">
        <v>5.2352999999999996</v>
      </c>
      <c r="C821" s="7">
        <f t="shared" si="12"/>
        <v>-4.3913242706582575E-2</v>
      </c>
    </row>
    <row r="822" spans="1:3" x14ac:dyDescent="0.3">
      <c r="A822" s="6" t="s">
        <v>821</v>
      </c>
      <c r="B822" s="10">
        <v>5.2194000000000003</v>
      </c>
      <c r="C822" s="7">
        <f t="shared" si="12"/>
        <v>-0.30370752392411821</v>
      </c>
    </row>
    <row r="823" spans="1:3" x14ac:dyDescent="0.3">
      <c r="A823" s="6" t="s">
        <v>822</v>
      </c>
      <c r="B823" s="10">
        <v>5.1605999999999996</v>
      </c>
      <c r="C823" s="7">
        <f t="shared" si="12"/>
        <v>-1.1265662719852976</v>
      </c>
    </row>
    <row r="824" spans="1:3" x14ac:dyDescent="0.3">
      <c r="A824" s="6" t="s">
        <v>823</v>
      </c>
      <c r="B824" s="10">
        <v>5.1654999999999998</v>
      </c>
      <c r="C824" s="7">
        <f t="shared" si="12"/>
        <v>9.4950199589197523E-2</v>
      </c>
    </row>
    <row r="825" spans="1:3" x14ac:dyDescent="0.3">
      <c r="A825" s="6" t="s">
        <v>824</v>
      </c>
      <c r="B825" s="10">
        <v>5.1532</v>
      </c>
      <c r="C825" s="7">
        <f t="shared" si="12"/>
        <v>-0.23811828477397651</v>
      </c>
    </row>
    <row r="826" spans="1:3" x14ac:dyDescent="0.3">
      <c r="A826" s="6" t="s">
        <v>825</v>
      </c>
      <c r="B826" s="10">
        <v>5.1624999999999996</v>
      </c>
      <c r="C826" s="7">
        <f t="shared" si="12"/>
        <v>0.18047038733213619</v>
      </c>
    </row>
    <row r="827" spans="1:3" x14ac:dyDescent="0.3">
      <c r="A827" s="6" t="s">
        <v>826</v>
      </c>
      <c r="B827" s="10">
        <v>5.0899000000000001</v>
      </c>
      <c r="C827" s="7">
        <f t="shared" si="12"/>
        <v>-1.4062953995157299</v>
      </c>
    </row>
    <row r="828" spans="1:3" x14ac:dyDescent="0.3">
      <c r="A828" s="6" t="s">
        <v>827</v>
      </c>
      <c r="B828" s="10">
        <v>5.0820999999999996</v>
      </c>
      <c r="C828" s="7">
        <f t="shared" si="12"/>
        <v>-0.15324466099531373</v>
      </c>
    </row>
    <row r="829" spans="1:3" x14ac:dyDescent="0.3">
      <c r="A829" s="6" t="s">
        <v>828</v>
      </c>
      <c r="B829" s="10">
        <v>5.0228999999999999</v>
      </c>
      <c r="C829" s="7">
        <f t="shared" si="12"/>
        <v>-1.1648727888077703</v>
      </c>
    </row>
    <row r="830" spans="1:3" x14ac:dyDescent="0.3">
      <c r="A830" s="6" t="s">
        <v>829</v>
      </c>
      <c r="B830" s="10">
        <v>5.0244</v>
      </c>
      <c r="C830" s="7">
        <f t="shared" si="12"/>
        <v>2.986322642298387E-2</v>
      </c>
    </row>
    <row r="831" spans="1:3" x14ac:dyDescent="0.3">
      <c r="A831" s="6" t="s">
        <v>830</v>
      </c>
      <c r="B831" s="10">
        <v>4.9805999999999999</v>
      </c>
      <c r="C831" s="7">
        <f t="shared" si="12"/>
        <v>-0.87174588010508847</v>
      </c>
    </row>
    <row r="832" spans="1:3" x14ac:dyDescent="0.3">
      <c r="A832" s="6" t="s">
        <v>831</v>
      </c>
      <c r="B832" s="10">
        <v>4.9927999999999999</v>
      </c>
      <c r="C832" s="7">
        <f t="shared" si="12"/>
        <v>0.24495040758141565</v>
      </c>
    </row>
    <row r="833" spans="1:3" x14ac:dyDescent="0.3">
      <c r="A833" s="6" t="s">
        <v>832</v>
      </c>
      <c r="B833" s="10">
        <v>5.0007000000000001</v>
      </c>
      <c r="C833" s="7">
        <f t="shared" si="12"/>
        <v>0.15822784810127064</v>
      </c>
    </row>
    <row r="834" spans="1:3" x14ac:dyDescent="0.3">
      <c r="A834" s="6" t="s">
        <v>833</v>
      </c>
      <c r="B834" s="10">
        <v>4.9695</v>
      </c>
      <c r="C834" s="7">
        <f t="shared" si="12"/>
        <v>-0.6239126522286903</v>
      </c>
    </row>
    <row r="835" spans="1:3" x14ac:dyDescent="0.3">
      <c r="A835" s="6" t="s">
        <v>834</v>
      </c>
      <c r="B835" s="10">
        <v>4.9843999999999999</v>
      </c>
      <c r="C835" s="7">
        <f t="shared" si="12"/>
        <v>0.29982895663547465</v>
      </c>
    </row>
    <row r="836" spans="1:3" x14ac:dyDescent="0.3">
      <c r="A836" s="6" t="s">
        <v>835</v>
      </c>
      <c r="B836" s="10">
        <v>4.9653</v>
      </c>
      <c r="C836" s="7">
        <f t="shared" si="12"/>
        <v>-0.38319557017895622</v>
      </c>
    </row>
    <row r="837" spans="1:3" x14ac:dyDescent="0.3">
      <c r="A837" s="6" t="s">
        <v>836</v>
      </c>
      <c r="B837" s="10">
        <v>4.9539</v>
      </c>
      <c r="C837" s="7">
        <f t="shared" si="12"/>
        <v>-0.22959337804362429</v>
      </c>
    </row>
    <row r="838" spans="1:3" x14ac:dyDescent="0.3">
      <c r="A838" s="6" t="s">
        <v>837</v>
      </c>
      <c r="B838" s="10">
        <v>5.0083000000000002</v>
      </c>
      <c r="C838" s="7">
        <f t="shared" si="12"/>
        <v>1.0981247098245872</v>
      </c>
    </row>
    <row r="839" spans="1:3" x14ac:dyDescent="0.3">
      <c r="A839" s="6" t="s">
        <v>838</v>
      </c>
      <c r="B839" s="10">
        <v>4.97</v>
      </c>
      <c r="C839" s="7">
        <f t="shared" si="12"/>
        <v>-0.76473054729150503</v>
      </c>
    </row>
    <row r="840" spans="1:3" x14ac:dyDescent="0.3">
      <c r="A840" s="6" t="s">
        <v>839</v>
      </c>
      <c r="B840" s="10">
        <v>4.9878</v>
      </c>
      <c r="C840" s="7">
        <f t="shared" si="12"/>
        <v>0.3581488933601662</v>
      </c>
    </row>
    <row r="841" spans="1:3" x14ac:dyDescent="0.3">
      <c r="A841" s="6" t="s">
        <v>840</v>
      </c>
      <c r="B841" s="10">
        <v>4.9984999999999999</v>
      </c>
      <c r="C841" s="7">
        <f t="shared" ref="C841:C904" si="13">(B841-B840)/B840*100</f>
        <v>0.21452343718673428</v>
      </c>
    </row>
    <row r="842" spans="1:3" x14ac:dyDescent="0.3">
      <c r="A842" s="6" t="s">
        <v>841</v>
      </c>
      <c r="B842" s="10">
        <v>4.9885999999999999</v>
      </c>
      <c r="C842" s="7">
        <f t="shared" si="13"/>
        <v>-0.19805941782534803</v>
      </c>
    </row>
    <row r="843" spans="1:3" x14ac:dyDescent="0.3">
      <c r="A843" s="6" t="s">
        <v>842</v>
      </c>
      <c r="B843" s="10">
        <v>4.9587000000000003</v>
      </c>
      <c r="C843" s="7">
        <f t="shared" si="13"/>
        <v>-0.5993665557470953</v>
      </c>
    </row>
    <row r="844" spans="1:3" x14ac:dyDescent="0.3">
      <c r="A844" s="6" t="s">
        <v>843</v>
      </c>
      <c r="B844" s="10">
        <v>4.9241999999999999</v>
      </c>
      <c r="C844" s="7">
        <f t="shared" si="13"/>
        <v>-0.69574686913909722</v>
      </c>
    </row>
    <row r="845" spans="1:3" x14ac:dyDescent="0.3">
      <c r="A845" s="6" t="s">
        <v>844</v>
      </c>
      <c r="B845" s="10">
        <v>4.9273999999999996</v>
      </c>
      <c r="C845" s="7">
        <f t="shared" si="13"/>
        <v>6.4985175256887365E-2</v>
      </c>
    </row>
    <row r="846" spans="1:3" x14ac:dyDescent="0.3">
      <c r="A846" s="6" t="s">
        <v>845</v>
      </c>
      <c r="B846" s="10">
        <v>4.9169999999999998</v>
      </c>
      <c r="C846" s="7">
        <f t="shared" si="13"/>
        <v>-0.21106465884644524</v>
      </c>
    </row>
    <row r="847" spans="1:3" x14ac:dyDescent="0.3">
      <c r="A847" s="6" t="s">
        <v>846</v>
      </c>
      <c r="B847" s="10">
        <v>4.8998999999999997</v>
      </c>
      <c r="C847" s="7">
        <f t="shared" si="13"/>
        <v>-0.34777303233679308</v>
      </c>
    </row>
    <row r="848" spans="1:3" x14ac:dyDescent="0.3">
      <c r="A848" s="6" t="s">
        <v>847</v>
      </c>
      <c r="B848" s="10">
        <v>4.8973000000000004</v>
      </c>
      <c r="C848" s="7">
        <f t="shared" si="13"/>
        <v>-5.306230739401354E-2</v>
      </c>
    </row>
    <row r="849" spans="1:3" x14ac:dyDescent="0.3">
      <c r="A849" s="6" t="s">
        <v>848</v>
      </c>
      <c r="B849" s="10">
        <v>4.8977000000000004</v>
      </c>
      <c r="C849" s="7">
        <f t="shared" si="13"/>
        <v>8.1677659118280666E-3</v>
      </c>
    </row>
    <row r="850" spans="1:3" x14ac:dyDescent="0.3">
      <c r="A850" s="6" t="s">
        <v>849</v>
      </c>
      <c r="B850" s="10">
        <v>4.9118000000000004</v>
      </c>
      <c r="C850" s="7">
        <f t="shared" si="13"/>
        <v>0.28789023419155929</v>
      </c>
    </row>
    <row r="851" spans="1:3" x14ac:dyDescent="0.3">
      <c r="A851" s="6" t="s">
        <v>850</v>
      </c>
      <c r="B851" s="10">
        <v>4.9809000000000001</v>
      </c>
      <c r="C851" s="7">
        <f t="shared" si="13"/>
        <v>1.4068162384461851</v>
      </c>
    </row>
    <row r="852" spans="1:3" x14ac:dyDescent="0.3">
      <c r="A852" s="6" t="s">
        <v>851</v>
      </c>
      <c r="B852" s="10">
        <v>5.0654000000000003</v>
      </c>
      <c r="C852" s="7">
        <f t="shared" si="13"/>
        <v>1.6964805557228662</v>
      </c>
    </row>
    <row r="853" spans="1:3" x14ac:dyDescent="0.3">
      <c r="A853" s="6" t="s">
        <v>852</v>
      </c>
      <c r="B853" s="10">
        <v>5.0092999999999996</v>
      </c>
      <c r="C853" s="7">
        <f t="shared" si="13"/>
        <v>-1.1075137205354109</v>
      </c>
    </row>
    <row r="854" spans="1:3" x14ac:dyDescent="0.3">
      <c r="A854" s="6" t="s">
        <v>853</v>
      </c>
      <c r="B854" s="10">
        <v>5.0377999999999998</v>
      </c>
      <c r="C854" s="7">
        <f t="shared" si="13"/>
        <v>0.56894176831094545</v>
      </c>
    </row>
    <row r="855" spans="1:3" x14ac:dyDescent="0.3">
      <c r="A855" s="6" t="s">
        <v>854</v>
      </c>
      <c r="B855" s="10">
        <v>5.0301</v>
      </c>
      <c r="C855" s="7">
        <f t="shared" si="13"/>
        <v>-0.15284449561316088</v>
      </c>
    </row>
    <row r="856" spans="1:3" x14ac:dyDescent="0.3">
      <c r="A856" s="6" t="s">
        <v>855</v>
      </c>
      <c r="B856" s="10">
        <v>5.0076999999999998</v>
      </c>
      <c r="C856" s="7">
        <f t="shared" si="13"/>
        <v>-0.44531917854516206</v>
      </c>
    </row>
    <row r="857" spans="1:3" x14ac:dyDescent="0.3">
      <c r="A857" s="6" t="s">
        <v>856</v>
      </c>
      <c r="B857" s="10">
        <v>5.0140000000000002</v>
      </c>
      <c r="C857" s="7">
        <f t="shared" si="13"/>
        <v>0.12580625836213066</v>
      </c>
    </row>
    <row r="858" spans="1:3" x14ac:dyDescent="0.3">
      <c r="A858" s="6" t="s">
        <v>857</v>
      </c>
      <c r="B858" s="10">
        <v>5.0072000000000001</v>
      </c>
      <c r="C858" s="7">
        <f t="shared" si="13"/>
        <v>-0.13562026326286675</v>
      </c>
    </row>
    <row r="859" spans="1:3" x14ac:dyDescent="0.3">
      <c r="A859" s="6" t="s">
        <v>858</v>
      </c>
      <c r="B859" s="10">
        <v>5.0210999999999997</v>
      </c>
      <c r="C859" s="7">
        <f t="shared" si="13"/>
        <v>0.27760025563188168</v>
      </c>
    </row>
    <row r="860" spans="1:3" x14ac:dyDescent="0.3">
      <c r="A860" s="6" t="s">
        <v>859</v>
      </c>
      <c r="B860" s="10">
        <v>5.0579000000000001</v>
      </c>
      <c r="C860" s="7">
        <f t="shared" si="13"/>
        <v>0.73290713190337553</v>
      </c>
    </row>
    <row r="861" spans="1:3" x14ac:dyDescent="0.3">
      <c r="A861" s="6" t="s">
        <v>860</v>
      </c>
      <c r="B861" s="10">
        <v>5.0517000000000003</v>
      </c>
      <c r="C861" s="7">
        <f t="shared" si="13"/>
        <v>-0.12258051760611638</v>
      </c>
    </row>
    <row r="862" spans="1:3" x14ac:dyDescent="0.3">
      <c r="A862" s="6" t="s">
        <v>861</v>
      </c>
      <c r="B862" s="10">
        <v>5.0568999999999997</v>
      </c>
      <c r="C862" s="7">
        <f t="shared" si="13"/>
        <v>0.10293564542628078</v>
      </c>
    </row>
    <row r="863" spans="1:3" x14ac:dyDescent="0.3">
      <c r="A863" s="6" t="s">
        <v>862</v>
      </c>
      <c r="B863" s="10">
        <v>5.0303000000000004</v>
      </c>
      <c r="C863" s="7">
        <f t="shared" si="13"/>
        <v>-0.52601396112241283</v>
      </c>
    </row>
    <row r="864" spans="1:3" x14ac:dyDescent="0.3">
      <c r="A864" s="6" t="s">
        <v>863</v>
      </c>
      <c r="B864" s="10">
        <v>5.016</v>
      </c>
      <c r="C864" s="7">
        <f t="shared" si="13"/>
        <v>-0.28427727968511668</v>
      </c>
    </row>
    <row r="865" spans="1:3" x14ac:dyDescent="0.3">
      <c r="A865" s="6" t="s">
        <v>864</v>
      </c>
      <c r="B865" s="10">
        <v>5.0415000000000001</v>
      </c>
      <c r="C865" s="7">
        <f t="shared" si="13"/>
        <v>0.50837320574162836</v>
      </c>
    </row>
    <row r="866" spans="1:3" x14ac:dyDescent="0.3">
      <c r="A866" s="6" t="s">
        <v>865</v>
      </c>
      <c r="B866" s="10">
        <v>5.1243999999999996</v>
      </c>
      <c r="C866" s="7">
        <f t="shared" si="13"/>
        <v>1.6443518794009626</v>
      </c>
    </row>
    <row r="867" spans="1:3" x14ac:dyDescent="0.3">
      <c r="A867" s="6" t="s">
        <v>866</v>
      </c>
      <c r="B867" s="10">
        <v>5.1695000000000002</v>
      </c>
      <c r="C867" s="7">
        <f t="shared" si="13"/>
        <v>0.88010303645305965</v>
      </c>
    </row>
    <row r="868" spans="1:3" x14ac:dyDescent="0.3">
      <c r="A868" s="6" t="s">
        <v>867</v>
      </c>
      <c r="B868" s="10">
        <v>5.1692999999999998</v>
      </c>
      <c r="C868" s="7">
        <f t="shared" si="13"/>
        <v>-3.8688461166538745E-3</v>
      </c>
    </row>
    <row r="869" spans="1:3" x14ac:dyDescent="0.3">
      <c r="A869" s="6" t="s">
        <v>868</v>
      </c>
      <c r="B869" s="10">
        <v>5.1763000000000003</v>
      </c>
      <c r="C869" s="7">
        <f t="shared" si="13"/>
        <v>0.13541485307489526</v>
      </c>
    </row>
    <row r="870" spans="1:3" x14ac:dyDescent="0.3">
      <c r="A870" s="6" t="s">
        <v>869</v>
      </c>
      <c r="B870" s="10">
        <v>5.1478000000000002</v>
      </c>
      <c r="C870" s="7">
        <f t="shared" si="13"/>
        <v>-0.5505863261402969</v>
      </c>
    </row>
    <row r="871" spans="1:3" x14ac:dyDescent="0.3">
      <c r="A871" s="6" t="s">
        <v>870</v>
      </c>
      <c r="B871" s="10">
        <v>5.0827</v>
      </c>
      <c r="C871" s="7">
        <f t="shared" si="13"/>
        <v>-1.2646178950231197</v>
      </c>
    </row>
    <row r="872" spans="1:3" x14ac:dyDescent="0.3">
      <c r="A872" s="6" t="s">
        <v>871</v>
      </c>
      <c r="B872" s="10">
        <v>5.0430000000000001</v>
      </c>
      <c r="C872" s="7">
        <f t="shared" si="13"/>
        <v>-0.78108092155743691</v>
      </c>
    </row>
    <row r="873" spans="1:3" x14ac:dyDescent="0.3">
      <c r="A873" s="6" t="s">
        <v>872</v>
      </c>
      <c r="B873" s="10">
        <v>5.0780000000000003</v>
      </c>
      <c r="C873" s="7">
        <f t="shared" si="13"/>
        <v>0.69403133055721089</v>
      </c>
    </row>
    <row r="874" spans="1:3" x14ac:dyDescent="0.3">
      <c r="A874" s="6" t="s">
        <v>873</v>
      </c>
      <c r="B874" s="10">
        <v>5.0640999999999998</v>
      </c>
      <c r="C874" s="7">
        <f t="shared" si="13"/>
        <v>-0.27372981488776027</v>
      </c>
    </row>
    <row r="875" spans="1:3" x14ac:dyDescent="0.3">
      <c r="A875" s="6" t="s">
        <v>874</v>
      </c>
      <c r="B875" s="10">
        <v>5.1612999999999998</v>
      </c>
      <c r="C875" s="7">
        <f t="shared" si="13"/>
        <v>1.9193933769080382</v>
      </c>
    </row>
    <row r="876" spans="1:3" x14ac:dyDescent="0.3">
      <c r="A876" s="6" t="s">
        <v>875</v>
      </c>
      <c r="B876" s="10">
        <v>5.1441999999999997</v>
      </c>
      <c r="C876" s="7">
        <f t="shared" si="13"/>
        <v>-0.3313118787902295</v>
      </c>
    </row>
    <row r="877" spans="1:3" x14ac:dyDescent="0.3">
      <c r="A877" s="6" t="s">
        <v>876</v>
      </c>
      <c r="B877" s="10">
        <v>5.1395</v>
      </c>
      <c r="C877" s="7">
        <f t="shared" si="13"/>
        <v>-9.1365032463739837E-2</v>
      </c>
    </row>
    <row r="878" spans="1:3" x14ac:dyDescent="0.3">
      <c r="A878" s="6" t="s">
        <v>877</v>
      </c>
      <c r="B878" s="10">
        <v>5.1742999999999997</v>
      </c>
      <c r="C878" s="7">
        <f t="shared" si="13"/>
        <v>0.67710866815837578</v>
      </c>
    </row>
    <row r="879" spans="1:3" x14ac:dyDescent="0.3">
      <c r="A879" s="6" t="s">
        <v>878</v>
      </c>
      <c r="B879" s="10">
        <v>5.2098000000000004</v>
      </c>
      <c r="C879" s="7">
        <f t="shared" si="13"/>
        <v>0.68608314168101492</v>
      </c>
    </row>
    <row r="880" spans="1:3" x14ac:dyDescent="0.3">
      <c r="A880" s="6" t="s">
        <v>879</v>
      </c>
      <c r="B880" s="10">
        <v>5.1891999999999996</v>
      </c>
      <c r="C880" s="7">
        <f t="shared" si="13"/>
        <v>-0.39540865292335287</v>
      </c>
    </row>
    <row r="881" spans="1:3" x14ac:dyDescent="0.3">
      <c r="A881" s="6" t="s">
        <v>880</v>
      </c>
      <c r="B881" s="10">
        <v>5.1695000000000002</v>
      </c>
      <c r="C881" s="7">
        <f t="shared" si="13"/>
        <v>-0.37963462576118451</v>
      </c>
    </row>
    <row r="882" spans="1:3" x14ac:dyDescent="0.3">
      <c r="A882" s="6" t="s">
        <v>881</v>
      </c>
      <c r="B882" s="10">
        <v>5.1717000000000004</v>
      </c>
      <c r="C882" s="7">
        <f t="shared" si="13"/>
        <v>4.2557307283106721E-2</v>
      </c>
    </row>
    <row r="883" spans="1:3" x14ac:dyDescent="0.3">
      <c r="A883" s="6" t="s">
        <v>882</v>
      </c>
      <c r="B883" s="10">
        <v>5.1765999999999996</v>
      </c>
      <c r="C883" s="7">
        <f t="shared" si="13"/>
        <v>9.4746408337669202E-2</v>
      </c>
    </row>
    <row r="884" spans="1:3" x14ac:dyDescent="0.3">
      <c r="A884" s="6" t="s">
        <v>883</v>
      </c>
      <c r="B884" s="10">
        <v>5.1950000000000003</v>
      </c>
      <c r="C884" s="7">
        <f t="shared" si="13"/>
        <v>0.35544565931307498</v>
      </c>
    </row>
    <row r="885" spans="1:3" x14ac:dyDescent="0.3">
      <c r="A885" s="6" t="s">
        <v>884</v>
      </c>
      <c r="B885" s="10">
        <v>5.1944999999999997</v>
      </c>
      <c r="C885" s="7">
        <f t="shared" si="13"/>
        <v>-9.6246390760464113E-3</v>
      </c>
    </row>
    <row r="886" spans="1:3" x14ac:dyDescent="0.3">
      <c r="A886" s="6" t="s">
        <v>885</v>
      </c>
      <c r="B886" s="10">
        <v>5.1717000000000004</v>
      </c>
      <c r="C886" s="7">
        <f t="shared" si="13"/>
        <v>-0.4389257868899657</v>
      </c>
    </row>
    <row r="887" spans="1:3" x14ac:dyDescent="0.3">
      <c r="A887" s="6" t="s">
        <v>886</v>
      </c>
      <c r="B887" s="10">
        <v>5.1669999999999998</v>
      </c>
      <c r="C887" s="7">
        <f t="shared" si="13"/>
        <v>-9.087920799738175E-2</v>
      </c>
    </row>
    <row r="888" spans="1:3" x14ac:dyDescent="0.3">
      <c r="A888" s="6" t="s">
        <v>887</v>
      </c>
      <c r="B888" s="10">
        <v>5.1458000000000004</v>
      </c>
      <c r="C888" s="7">
        <f t="shared" si="13"/>
        <v>-0.41029610992838089</v>
      </c>
    </row>
    <row r="889" spans="1:3" x14ac:dyDescent="0.3">
      <c r="A889" s="6" t="s">
        <v>888</v>
      </c>
      <c r="B889" s="10">
        <v>5.1551999999999998</v>
      </c>
      <c r="C889" s="7">
        <f t="shared" si="13"/>
        <v>0.18267324808580607</v>
      </c>
    </row>
    <row r="890" spans="1:3" x14ac:dyDescent="0.3">
      <c r="A890" s="6" t="s">
        <v>889</v>
      </c>
      <c r="B890" s="10">
        <v>5.1329000000000002</v>
      </c>
      <c r="C890" s="7">
        <f t="shared" si="13"/>
        <v>-0.43257293606454733</v>
      </c>
    </row>
    <row r="891" spans="1:3" x14ac:dyDescent="0.3">
      <c r="A891" s="6" t="s">
        <v>890</v>
      </c>
      <c r="B891" s="10">
        <v>5.1087999999999996</v>
      </c>
      <c r="C891" s="7">
        <f t="shared" si="13"/>
        <v>-0.46952015429875271</v>
      </c>
    </row>
    <row r="892" spans="1:3" x14ac:dyDescent="0.3">
      <c r="A892" s="6" t="s">
        <v>891</v>
      </c>
      <c r="B892" s="10">
        <v>5.1182999999999996</v>
      </c>
      <c r="C892" s="7">
        <f t="shared" si="13"/>
        <v>0.1859536486063276</v>
      </c>
    </row>
    <row r="893" spans="1:3" x14ac:dyDescent="0.3">
      <c r="A893" s="6" t="s">
        <v>892</v>
      </c>
      <c r="B893" s="10">
        <v>5.0742000000000003</v>
      </c>
      <c r="C893" s="7">
        <f t="shared" si="13"/>
        <v>-0.86161420784243525</v>
      </c>
    </row>
    <row r="894" spans="1:3" x14ac:dyDescent="0.3">
      <c r="A894" s="6" t="s">
        <v>893</v>
      </c>
      <c r="B894" s="10">
        <v>5.0727000000000002</v>
      </c>
      <c r="C894" s="7">
        <f t="shared" si="13"/>
        <v>-2.9561310157267286E-2</v>
      </c>
    </row>
    <row r="895" spans="1:3" x14ac:dyDescent="0.3">
      <c r="A895" s="6" t="s">
        <v>894</v>
      </c>
      <c r="B895" s="10">
        <v>5.0975000000000001</v>
      </c>
      <c r="C895" s="7">
        <f t="shared" si="13"/>
        <v>0.48889151733790548</v>
      </c>
    </row>
    <row r="896" spans="1:3" x14ac:dyDescent="0.3">
      <c r="A896" s="6" t="s">
        <v>895</v>
      </c>
      <c r="B896" s="10">
        <v>5.1176000000000004</v>
      </c>
      <c r="C896" s="7">
        <f t="shared" si="13"/>
        <v>0.39431093673369744</v>
      </c>
    </row>
    <row r="897" spans="1:3" x14ac:dyDescent="0.3">
      <c r="A897" s="6" t="s">
        <v>896</v>
      </c>
      <c r="B897" s="10">
        <v>5.0894000000000004</v>
      </c>
      <c r="C897" s="7">
        <f t="shared" si="13"/>
        <v>-0.55103954978896363</v>
      </c>
    </row>
    <row r="898" spans="1:3" x14ac:dyDescent="0.3">
      <c r="A898" s="6" t="s">
        <v>897</v>
      </c>
      <c r="B898" s="10">
        <v>5.0780000000000003</v>
      </c>
      <c r="C898" s="7">
        <f t="shared" si="13"/>
        <v>-0.22399496993751869</v>
      </c>
    </row>
    <row r="899" spans="1:3" x14ac:dyDescent="0.3">
      <c r="A899" s="6" t="s">
        <v>898</v>
      </c>
      <c r="B899" s="10">
        <v>5.0637999999999996</v>
      </c>
      <c r="C899" s="7">
        <f t="shared" si="13"/>
        <v>-0.2796376526191543</v>
      </c>
    </row>
    <row r="900" spans="1:3" x14ac:dyDescent="0.3">
      <c r="A900" s="6" t="s">
        <v>899</v>
      </c>
      <c r="B900" s="10">
        <v>5.0807000000000002</v>
      </c>
      <c r="C900" s="7">
        <f t="shared" si="13"/>
        <v>0.33374145898338364</v>
      </c>
    </row>
    <row r="901" spans="1:3" x14ac:dyDescent="0.3">
      <c r="A901" s="6" t="s">
        <v>900</v>
      </c>
      <c r="B901" s="10">
        <v>5.0666000000000002</v>
      </c>
      <c r="C901" s="7">
        <f t="shared" si="13"/>
        <v>-0.27752081406105461</v>
      </c>
    </row>
    <row r="902" spans="1:3" x14ac:dyDescent="0.3">
      <c r="A902" s="6" t="s">
        <v>901</v>
      </c>
      <c r="B902" s="10">
        <v>5.1005000000000003</v>
      </c>
      <c r="C902" s="7">
        <f t="shared" si="13"/>
        <v>0.66908775115462116</v>
      </c>
    </row>
    <row r="903" spans="1:3" x14ac:dyDescent="0.3">
      <c r="A903" s="6" t="s">
        <v>902</v>
      </c>
      <c r="B903" s="10">
        <v>5.1177000000000001</v>
      </c>
      <c r="C903" s="7">
        <f t="shared" si="13"/>
        <v>0.33722184099597846</v>
      </c>
    </row>
    <row r="904" spans="1:3" x14ac:dyDescent="0.3">
      <c r="A904" s="6" t="s">
        <v>903</v>
      </c>
      <c r="B904" s="10">
        <v>5.1216999999999997</v>
      </c>
      <c r="C904" s="7">
        <f t="shared" si="13"/>
        <v>7.8160110987348985E-2</v>
      </c>
    </row>
    <row r="905" spans="1:3" x14ac:dyDescent="0.3">
      <c r="A905" s="6" t="s">
        <v>904</v>
      </c>
      <c r="B905" s="10">
        <v>5.0739000000000001</v>
      </c>
      <c r="C905" s="7">
        <f t="shared" ref="C905:C968" si="14">(B905-B904)/B904*100</f>
        <v>-0.93328387058983586</v>
      </c>
    </row>
    <row r="906" spans="1:3" x14ac:dyDescent="0.3">
      <c r="A906" s="6" t="s">
        <v>905</v>
      </c>
      <c r="B906" s="10">
        <v>5.0773000000000001</v>
      </c>
      <c r="C906" s="7">
        <f t="shared" si="14"/>
        <v>6.7009598139499582E-2</v>
      </c>
    </row>
    <row r="907" spans="1:3" x14ac:dyDescent="0.3">
      <c r="A907" s="6" t="s">
        <v>906</v>
      </c>
      <c r="B907" s="10">
        <v>5.0723000000000003</v>
      </c>
      <c r="C907" s="7">
        <f t="shared" si="14"/>
        <v>-9.8477537273745766E-2</v>
      </c>
    </row>
    <row r="908" spans="1:3" x14ac:dyDescent="0.3">
      <c r="A908" s="6" t="s">
        <v>907</v>
      </c>
      <c r="B908" s="10">
        <v>5.1052999999999997</v>
      </c>
      <c r="C908" s="7">
        <f t="shared" si="14"/>
        <v>0.65059243341283979</v>
      </c>
    </row>
    <row r="909" spans="1:3" x14ac:dyDescent="0.3">
      <c r="A909" s="6" t="s">
        <v>908</v>
      </c>
      <c r="B909" s="10">
        <v>5.1154000000000002</v>
      </c>
      <c r="C909" s="7">
        <f t="shared" si="14"/>
        <v>0.19783362388107345</v>
      </c>
    </row>
    <row r="910" spans="1:3" x14ac:dyDescent="0.3">
      <c r="A910" s="6" t="s">
        <v>909</v>
      </c>
      <c r="B910" s="10">
        <v>5.1017000000000001</v>
      </c>
      <c r="C910" s="7">
        <f t="shared" si="14"/>
        <v>-0.26781874340227635</v>
      </c>
    </row>
    <row r="911" spans="1:3" x14ac:dyDescent="0.3">
      <c r="A911" s="6" t="s">
        <v>910</v>
      </c>
      <c r="B911" s="10">
        <v>5.0907999999999998</v>
      </c>
      <c r="C911" s="7">
        <f t="shared" si="14"/>
        <v>-0.21365427210538354</v>
      </c>
    </row>
    <row r="912" spans="1:3" x14ac:dyDescent="0.3">
      <c r="A912" s="6" t="s">
        <v>911</v>
      </c>
      <c r="B912" s="10">
        <v>5.0963000000000003</v>
      </c>
      <c r="C912" s="7">
        <f t="shared" si="14"/>
        <v>0.10803802938635391</v>
      </c>
    </row>
    <row r="913" spans="1:3" x14ac:dyDescent="0.3">
      <c r="A913" s="6" t="s">
        <v>912</v>
      </c>
      <c r="B913" s="10">
        <v>5.1284999999999998</v>
      </c>
      <c r="C913" s="7">
        <f t="shared" si="14"/>
        <v>0.63183093616936914</v>
      </c>
    </row>
    <row r="914" spans="1:3" x14ac:dyDescent="0.3">
      <c r="A914" s="6" t="s">
        <v>913</v>
      </c>
      <c r="B914" s="10">
        <v>5.1638999999999999</v>
      </c>
      <c r="C914" s="7">
        <f t="shared" si="14"/>
        <v>0.69026031003217514</v>
      </c>
    </row>
    <row r="915" spans="1:3" x14ac:dyDescent="0.3">
      <c r="A915" s="6" t="s">
        <v>914</v>
      </c>
      <c r="B915" s="10">
        <v>5.1859000000000002</v>
      </c>
      <c r="C915" s="7">
        <f t="shared" si="14"/>
        <v>0.42603458626232582</v>
      </c>
    </row>
    <row r="916" spans="1:3" x14ac:dyDescent="0.3">
      <c r="A916" s="6" t="s">
        <v>915</v>
      </c>
      <c r="B916" s="10">
        <v>5.2236000000000002</v>
      </c>
      <c r="C916" s="7">
        <f t="shared" si="14"/>
        <v>0.72697121039742507</v>
      </c>
    </row>
    <row r="917" spans="1:3" x14ac:dyDescent="0.3">
      <c r="A917" s="6" t="s">
        <v>916</v>
      </c>
      <c r="B917" s="10">
        <v>5.2013999999999996</v>
      </c>
      <c r="C917" s="7">
        <f t="shared" si="14"/>
        <v>-0.4249942568343798</v>
      </c>
    </row>
    <row r="918" spans="1:3" x14ac:dyDescent="0.3">
      <c r="A918" s="6" t="s">
        <v>917</v>
      </c>
      <c r="B918" s="10">
        <v>5.2042999999999999</v>
      </c>
      <c r="C918" s="7">
        <f t="shared" si="14"/>
        <v>5.5754220017694214E-2</v>
      </c>
    </row>
    <row r="919" spans="1:3" x14ac:dyDescent="0.3">
      <c r="A919" s="6" t="s">
        <v>918</v>
      </c>
      <c r="B919" s="10">
        <v>5.1714000000000002</v>
      </c>
      <c r="C919" s="7">
        <f t="shared" si="14"/>
        <v>-0.63216955210114145</v>
      </c>
    </row>
    <row r="920" spans="1:3" x14ac:dyDescent="0.3">
      <c r="A920" s="6" t="s">
        <v>919</v>
      </c>
      <c r="B920" s="10">
        <v>5.1862000000000004</v>
      </c>
      <c r="C920" s="7">
        <f t="shared" si="14"/>
        <v>0.28618942646092249</v>
      </c>
    </row>
    <row r="921" spans="1:3" x14ac:dyDescent="0.3">
      <c r="A921" s="6" t="s">
        <v>920</v>
      </c>
      <c r="B921" s="10">
        <v>5.1624999999999996</v>
      </c>
      <c r="C921" s="7">
        <f t="shared" si="14"/>
        <v>-0.45698199066755463</v>
      </c>
    </row>
    <row r="922" spans="1:3" x14ac:dyDescent="0.3">
      <c r="A922" s="6" t="s">
        <v>921</v>
      </c>
      <c r="B922" s="10">
        <v>5.1512000000000002</v>
      </c>
      <c r="C922" s="7">
        <f t="shared" si="14"/>
        <v>-0.21888619854720431</v>
      </c>
    </row>
    <row r="923" spans="1:3" x14ac:dyDescent="0.3">
      <c r="A923" s="6" t="s">
        <v>922</v>
      </c>
      <c r="B923" s="10">
        <v>5.149</v>
      </c>
      <c r="C923" s="7">
        <f t="shared" si="14"/>
        <v>-4.2708495107939934E-2</v>
      </c>
    </row>
    <row r="924" spans="1:3" x14ac:dyDescent="0.3">
      <c r="A924" s="6" t="s">
        <v>923</v>
      </c>
      <c r="B924" s="10">
        <v>5.1604000000000001</v>
      </c>
      <c r="C924" s="7">
        <f t="shared" si="14"/>
        <v>0.22140221402214169</v>
      </c>
    </row>
    <row r="925" spans="1:3" x14ac:dyDescent="0.3">
      <c r="A925" s="6" t="s">
        <v>924</v>
      </c>
      <c r="B925" s="10">
        <v>5.1642000000000001</v>
      </c>
      <c r="C925" s="7">
        <f t="shared" si="14"/>
        <v>7.3637702503682387E-2</v>
      </c>
    </row>
    <row r="926" spans="1:3" x14ac:dyDescent="0.3">
      <c r="A926" s="6" t="s">
        <v>925</v>
      </c>
      <c r="B926" s="10">
        <v>5.2004999999999999</v>
      </c>
      <c r="C926" s="7">
        <f t="shared" si="14"/>
        <v>0.70291623097478362</v>
      </c>
    </row>
    <row r="927" spans="1:3" x14ac:dyDescent="0.3">
      <c r="A927" s="6" t="s">
        <v>926</v>
      </c>
      <c r="B927" s="10">
        <v>5.1816000000000004</v>
      </c>
      <c r="C927" s="7">
        <f t="shared" si="14"/>
        <v>-0.36342659359675938</v>
      </c>
    </row>
    <row r="928" spans="1:3" x14ac:dyDescent="0.3">
      <c r="A928" s="6" t="s">
        <v>927</v>
      </c>
      <c r="B928" s="10">
        <v>5.157</v>
      </c>
      <c r="C928" s="7">
        <f t="shared" si="14"/>
        <v>-0.47475683186661255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activeCell="B22" sqref="B22"/>
    </sheetView>
  </sheetViews>
  <sheetFormatPr defaultColWidth="8.6640625" defaultRowHeight="14.4" x14ac:dyDescent="0.3"/>
  <cols>
    <col min="1" max="1" width="10" customWidth="1"/>
    <col min="2" max="2" width="26" customWidth="1"/>
    <col min="3" max="4" width="24" customWidth="1"/>
    <col min="5" max="5" width="42" customWidth="1"/>
  </cols>
  <sheetData>
    <row r="1" spans="1:5" ht="17.399999999999999" x14ac:dyDescent="0.3">
      <c r="A1" s="1" t="s">
        <v>1366</v>
      </c>
    </row>
    <row r="2" spans="1:5" x14ac:dyDescent="0.3">
      <c r="A2" s="2"/>
    </row>
    <row r="4" spans="1:5" x14ac:dyDescent="0.3">
      <c r="A4" s="5" t="s">
        <v>1367</v>
      </c>
      <c r="B4" s="5" t="s">
        <v>1368</v>
      </c>
      <c r="C4" s="5" t="s">
        <v>2</v>
      </c>
      <c r="D4" s="5" t="s">
        <v>3</v>
      </c>
      <c r="E4" s="5" t="s">
        <v>1369</v>
      </c>
    </row>
    <row r="5" spans="1:5" x14ac:dyDescent="0.3">
      <c r="A5" s="11" t="s">
        <v>1370</v>
      </c>
      <c r="B5" s="12" t="s">
        <v>1371</v>
      </c>
      <c r="C5" s="13">
        <f>'1_CDI'!C4</f>
        <v>1.0298886222891217</v>
      </c>
      <c r="D5" s="13">
        <f>'1_CDI'!C5</f>
        <v>0.12000007204792507</v>
      </c>
      <c r="E5" s="14" t="s">
        <v>1372</v>
      </c>
    </row>
    <row r="6" spans="1:5" x14ac:dyDescent="0.3">
      <c r="A6" s="11" t="s">
        <v>1373</v>
      </c>
      <c r="B6" s="12" t="s">
        <v>1374</v>
      </c>
      <c r="C6" s="13">
        <f>'2_Selic'!C4</f>
        <v>1.0374095049875953</v>
      </c>
      <c r="D6" s="13">
        <f>'2_Selic'!C5</f>
        <v>0.11944757307617487</v>
      </c>
      <c r="E6" s="14" t="s">
        <v>1375</v>
      </c>
    </row>
    <row r="7" spans="1:5" x14ac:dyDescent="0.3">
      <c r="A7" s="11" t="s">
        <v>1376</v>
      </c>
      <c r="B7" s="12" t="s">
        <v>1377</v>
      </c>
      <c r="C7" s="13">
        <f>'3_IPCA'!C6</f>
        <v>0.86220960198885033</v>
      </c>
      <c r="D7" s="13">
        <f>'3_IPCA'!H5</f>
        <v>0.29672204945035863</v>
      </c>
      <c r="E7" s="14" t="s">
        <v>1378</v>
      </c>
    </row>
    <row r="8" spans="1:5" x14ac:dyDescent="0.3">
      <c r="A8" s="11" t="s">
        <v>1379</v>
      </c>
      <c r="B8" s="12" t="s">
        <v>1380</v>
      </c>
      <c r="C8" s="13">
        <f>'4_Dolar'!H4</f>
        <v>-3.2545314347544159E-2</v>
      </c>
      <c r="D8" s="13">
        <f>'4_Dolar'!H5</f>
        <v>3.1203663675251456</v>
      </c>
      <c r="E8" s="14" t="s">
        <v>1381</v>
      </c>
    </row>
    <row r="11" spans="1:5" x14ac:dyDescent="0.3">
      <c r="A11" s="15" t="s">
        <v>1382</v>
      </c>
    </row>
    <row r="12" spans="1:5" x14ac:dyDescent="0.3">
      <c r="A12" s="2" t="s">
        <v>1383</v>
      </c>
    </row>
    <row r="13" spans="1:5" x14ac:dyDescent="0.3">
      <c r="A13" s="2" t="s">
        <v>1384</v>
      </c>
    </row>
    <row r="14" spans="1:5" x14ac:dyDescent="0.3">
      <c r="A14" s="2" t="s">
        <v>1385</v>
      </c>
    </row>
    <row r="15" spans="1:5" x14ac:dyDescent="0.3">
      <c r="A15" s="2" t="s">
        <v>1386</v>
      </c>
    </row>
    <row r="16" spans="1:5" x14ac:dyDescent="0.3">
      <c r="A16" s="2" t="s">
        <v>1387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zoomScaleNormal="100" workbookViewId="0">
      <selection activeCell="D32" sqref="D32"/>
    </sheetView>
  </sheetViews>
  <sheetFormatPr defaultColWidth="8.6640625" defaultRowHeight="14.4" x14ac:dyDescent="0.3"/>
  <cols>
    <col min="1" max="1" width="30" customWidth="1"/>
    <col min="2" max="2" width="13.109375" customWidth="1"/>
    <col min="3" max="3" width="13.109375" bestFit="1" customWidth="1"/>
    <col min="4" max="5" width="13.109375" customWidth="1"/>
    <col min="6" max="6" width="13" customWidth="1"/>
    <col min="7" max="7" width="7" customWidth="1"/>
    <col min="8" max="8" width="11" customWidth="1"/>
    <col min="9" max="9" width="13" customWidth="1"/>
  </cols>
  <sheetData>
    <row r="1" spans="1:6" ht="17.399999999999999" x14ac:dyDescent="0.3">
      <c r="A1" s="1" t="s">
        <v>1388</v>
      </c>
    </row>
    <row r="2" spans="1:6" x14ac:dyDescent="0.3">
      <c r="A2" s="2"/>
    </row>
    <row r="4" spans="1:6" x14ac:dyDescent="0.3">
      <c r="A4" s="3" t="s">
        <v>1389</v>
      </c>
      <c r="C4" s="16">
        <v>10000000</v>
      </c>
    </row>
    <row r="6" spans="1:6" x14ac:dyDescent="0.3">
      <c r="A6" s="15" t="s">
        <v>1390</v>
      </c>
    </row>
    <row r="7" spans="1:6" x14ac:dyDescent="0.3">
      <c r="A7" s="5"/>
      <c r="B7" s="5" t="s">
        <v>1391</v>
      </c>
      <c r="C7" s="5" t="s">
        <v>1392</v>
      </c>
      <c r="D7" s="5" t="s">
        <v>1393</v>
      </c>
      <c r="E7" s="5" t="s">
        <v>1394</v>
      </c>
      <c r="F7" s="5" t="s">
        <v>1395</v>
      </c>
    </row>
    <row r="8" spans="1:6" x14ac:dyDescent="0.3">
      <c r="A8" s="3" t="s">
        <v>1396</v>
      </c>
      <c r="B8" s="30">
        <v>0.44999999999999996</v>
      </c>
      <c r="C8" s="30">
        <v>0.4</v>
      </c>
      <c r="D8" s="30">
        <v>0.1</v>
      </c>
      <c r="E8" s="30">
        <v>0.05</v>
      </c>
      <c r="F8" s="31">
        <f>SUM(B8:E8)</f>
        <v>1</v>
      </c>
    </row>
    <row r="9" spans="1:6" x14ac:dyDescent="0.3">
      <c r="A9" s="3" t="s">
        <v>1397</v>
      </c>
      <c r="B9" s="17">
        <f>B8*$C$4</f>
        <v>4500000</v>
      </c>
      <c r="C9" s="17">
        <f>C8*$C$4</f>
        <v>4000000</v>
      </c>
      <c r="D9" s="17">
        <f>D8*$C$4</f>
        <v>1000000</v>
      </c>
      <c r="E9" s="17">
        <f>E8*$C$4</f>
        <v>500000</v>
      </c>
    </row>
    <row r="11" spans="1:6" x14ac:dyDescent="0.3">
      <c r="A11" s="15" t="s">
        <v>1398</v>
      </c>
    </row>
    <row r="12" spans="1:6" x14ac:dyDescent="0.3">
      <c r="A12" s="5"/>
      <c r="B12" s="5" t="s">
        <v>1370</v>
      </c>
      <c r="C12" s="5" t="s">
        <v>1373</v>
      </c>
      <c r="D12" s="5" t="s">
        <v>1376</v>
      </c>
      <c r="E12" s="5" t="s">
        <v>1379</v>
      </c>
    </row>
    <row r="13" spans="1:6" x14ac:dyDescent="0.3">
      <c r="A13" s="3" t="s">
        <v>1399</v>
      </c>
      <c r="B13" s="13">
        <f>'5_Parametros'!C5</f>
        <v>1.0298886222891217</v>
      </c>
      <c r="C13" s="13">
        <f>'5_Parametros'!C6</f>
        <v>1.0374095049875953</v>
      </c>
      <c r="D13" s="13">
        <f>'5_Parametros'!C7</f>
        <v>0.86220960198885033</v>
      </c>
      <c r="E13" s="13">
        <f>'5_Parametros'!C8</f>
        <v>-3.2545314347544159E-2</v>
      </c>
    </row>
    <row r="15" spans="1:6" ht="15.6" x14ac:dyDescent="0.3">
      <c r="A15" s="18" t="s">
        <v>1400</v>
      </c>
      <c r="C15" s="19">
        <f>SUMPRODUCT(B13:E13,$B$8:$E$8)</f>
        <v>0.96300737650665069</v>
      </c>
    </row>
    <row r="16" spans="1:6" ht="15.6" x14ac:dyDescent="0.3">
      <c r="A16" s="18" t="s">
        <v>1401</v>
      </c>
      <c r="C16" s="20">
        <f>C15/100*C4</f>
        <v>96300.737650665062</v>
      </c>
    </row>
    <row r="18" spans="1:9" x14ac:dyDescent="0.3">
      <c r="A18" s="15" t="s">
        <v>1402</v>
      </c>
    </row>
    <row r="19" spans="1:9" x14ac:dyDescent="0.3">
      <c r="A19" s="5" t="s">
        <v>1403</v>
      </c>
      <c r="B19" s="5" t="s">
        <v>1370</v>
      </c>
      <c r="C19" s="5" t="s">
        <v>1373</v>
      </c>
      <c r="D19" s="5" t="s">
        <v>1376</v>
      </c>
      <c r="E19" s="5" t="s">
        <v>1379</v>
      </c>
      <c r="F19" s="5" t="s">
        <v>1404</v>
      </c>
      <c r="G19" s="5" t="s">
        <v>1405</v>
      </c>
      <c r="H19" s="5" t="s">
        <v>1406</v>
      </c>
      <c r="I19" s="5" t="s">
        <v>1407</v>
      </c>
    </row>
    <row r="20" spans="1:9" x14ac:dyDescent="0.3">
      <c r="A20" s="21" t="s">
        <v>1408</v>
      </c>
      <c r="B20" s="26">
        <v>1</v>
      </c>
      <c r="C20" s="26">
        <v>1</v>
      </c>
      <c r="D20" s="26">
        <v>1</v>
      </c>
      <c r="E20" s="26">
        <v>1</v>
      </c>
      <c r="F20" s="29">
        <v>1</v>
      </c>
      <c r="G20" s="11" t="s">
        <v>1409</v>
      </c>
      <c r="H20" s="26">
        <v>1</v>
      </c>
      <c r="I20" s="28">
        <f t="shared" ref="I20:I26" si="0">H20-F20</f>
        <v>0</v>
      </c>
    </row>
    <row r="21" spans="1:9" x14ac:dyDescent="0.3">
      <c r="A21" s="21" t="s">
        <v>1410</v>
      </c>
      <c r="B21" s="26">
        <v>1</v>
      </c>
      <c r="C21" s="26">
        <v>0</v>
      </c>
      <c r="D21" s="26">
        <v>0</v>
      </c>
      <c r="E21" s="26">
        <v>0</v>
      </c>
      <c r="F21" s="27">
        <f t="shared" ref="F20:F26" si="1">SUMPRODUCT(B21:E21,$B$8:$E$8)</f>
        <v>0.44999999999999996</v>
      </c>
      <c r="G21" s="11" t="s">
        <v>1411</v>
      </c>
      <c r="H21" s="25">
        <v>0.15</v>
      </c>
      <c r="I21" s="28">
        <f t="shared" si="0"/>
        <v>-0.29999999999999993</v>
      </c>
    </row>
    <row r="22" spans="1:9" x14ac:dyDescent="0.3">
      <c r="A22" s="21" t="s">
        <v>1412</v>
      </c>
      <c r="B22" s="26">
        <v>0</v>
      </c>
      <c r="C22" s="26">
        <v>1</v>
      </c>
      <c r="D22" s="26">
        <v>0</v>
      </c>
      <c r="E22" s="26">
        <v>0</v>
      </c>
      <c r="F22" s="27">
        <f t="shared" si="1"/>
        <v>0.4</v>
      </c>
      <c r="G22" s="11" t="s">
        <v>1413</v>
      </c>
      <c r="H22" s="25">
        <v>0.4</v>
      </c>
      <c r="I22" s="28">
        <f t="shared" si="0"/>
        <v>0</v>
      </c>
    </row>
    <row r="23" spans="1:9" x14ac:dyDescent="0.3">
      <c r="A23" s="21" t="s">
        <v>1414</v>
      </c>
      <c r="B23" s="26">
        <v>0</v>
      </c>
      <c r="C23" s="26">
        <v>0</v>
      </c>
      <c r="D23" s="26">
        <v>1</v>
      </c>
      <c r="E23" s="26">
        <v>0</v>
      </c>
      <c r="F23" s="27">
        <f t="shared" si="1"/>
        <v>0.1</v>
      </c>
      <c r="G23" s="11" t="s">
        <v>1411</v>
      </c>
      <c r="H23" s="25">
        <v>0.1</v>
      </c>
      <c r="I23" s="28">
        <f t="shared" si="0"/>
        <v>0</v>
      </c>
    </row>
    <row r="24" spans="1:9" x14ac:dyDescent="0.3">
      <c r="A24" s="21" t="s">
        <v>1415</v>
      </c>
      <c r="B24" s="26">
        <v>0</v>
      </c>
      <c r="C24" s="26">
        <v>0</v>
      </c>
      <c r="D24" s="26">
        <v>0</v>
      </c>
      <c r="E24" s="26">
        <v>1</v>
      </c>
      <c r="F24" s="27">
        <f t="shared" si="1"/>
        <v>0.05</v>
      </c>
      <c r="G24" s="11" t="s">
        <v>1411</v>
      </c>
      <c r="H24" s="25">
        <v>0.05</v>
      </c>
      <c r="I24" s="28">
        <f t="shared" si="0"/>
        <v>0</v>
      </c>
    </row>
    <row r="25" spans="1:9" x14ac:dyDescent="0.3">
      <c r="A25" s="21" t="s">
        <v>1416</v>
      </c>
      <c r="B25" s="26">
        <v>0</v>
      </c>
      <c r="C25" s="26">
        <v>0</v>
      </c>
      <c r="D25" s="26">
        <v>0</v>
      </c>
      <c r="E25" s="26">
        <v>1</v>
      </c>
      <c r="F25" s="27">
        <f t="shared" si="1"/>
        <v>0.05</v>
      </c>
      <c r="G25" s="11" t="s">
        <v>1413</v>
      </c>
      <c r="H25" s="25">
        <v>0.15</v>
      </c>
      <c r="I25" s="28">
        <f t="shared" si="0"/>
        <v>9.9999999999999992E-2</v>
      </c>
    </row>
    <row r="26" spans="1:9" x14ac:dyDescent="0.3">
      <c r="A26" s="22" t="s">
        <v>1417</v>
      </c>
      <c r="B26" s="27">
        <f>'5_Parametros'!D5</f>
        <v>0.12000007204792507</v>
      </c>
      <c r="C26" s="13">
        <f>'5_Parametros'!D6</f>
        <v>0.11944757307617487</v>
      </c>
      <c r="D26" s="13">
        <f>'5_Parametros'!D7</f>
        <v>0.29672204945035863</v>
      </c>
      <c r="E26" s="13">
        <f>'5_Parametros'!D8</f>
        <v>3.1203663675251456</v>
      </c>
      <c r="F26" s="13">
        <f t="shared" si="1"/>
        <v>0.28746958497332936</v>
      </c>
      <c r="G26" s="11" t="s">
        <v>1413</v>
      </c>
      <c r="H26" s="25">
        <v>0.35</v>
      </c>
      <c r="I26" s="13">
        <f t="shared" si="0"/>
        <v>6.2530415026670616E-2</v>
      </c>
    </row>
    <row r="28" spans="1:9" x14ac:dyDescent="0.3">
      <c r="A28" s="2"/>
    </row>
    <row r="30" spans="1:9" x14ac:dyDescent="0.3">
      <c r="A30" s="15"/>
    </row>
    <row r="31" spans="1:9" x14ac:dyDescent="0.3">
      <c r="A31" s="22"/>
      <c r="B31" s="23"/>
    </row>
    <row r="32" spans="1:9" x14ac:dyDescent="0.3">
      <c r="A32" s="22"/>
      <c r="B32" s="23"/>
    </row>
    <row r="33" spans="1:2" x14ac:dyDescent="0.3">
      <c r="A33" s="22"/>
      <c r="B33" s="23"/>
    </row>
    <row r="34" spans="1:2" x14ac:dyDescent="0.3">
      <c r="A34" s="22"/>
      <c r="B34" s="23"/>
    </row>
    <row r="35" spans="1:2" x14ac:dyDescent="0.3">
      <c r="A35" s="22"/>
      <c r="B35" s="23"/>
    </row>
    <row r="36" spans="1:2" x14ac:dyDescent="0.3">
      <c r="A36" s="22"/>
      <c r="B36" s="23"/>
    </row>
    <row r="37" spans="1:2" x14ac:dyDescent="0.3">
      <c r="A37" s="22"/>
      <c r="B37" s="23"/>
    </row>
    <row r="38" spans="1:2" x14ac:dyDescent="0.3">
      <c r="A38" s="22"/>
      <c r="B38" s="23"/>
    </row>
    <row r="39" spans="1:2" x14ac:dyDescent="0.3">
      <c r="A39" s="22"/>
      <c r="B39" s="23"/>
    </row>
    <row r="40" spans="1:2" x14ac:dyDescent="0.3">
      <c r="A40" s="22"/>
      <c r="B40" s="23"/>
    </row>
    <row r="41" spans="1:2" x14ac:dyDescent="0.3">
      <c r="A41" s="22"/>
      <c r="B41" s="23"/>
    </row>
    <row r="42" spans="1:2" x14ac:dyDescent="0.3">
      <c r="A42" s="22"/>
      <c r="B42" s="23"/>
    </row>
    <row r="43" spans="1:2" x14ac:dyDescent="0.3">
      <c r="A43" s="22"/>
      <c r="B43" s="23"/>
    </row>
    <row r="45" spans="1:2" x14ac:dyDescent="0.3">
      <c r="A45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1_CDI</vt:lpstr>
      <vt:lpstr>2_Selic</vt:lpstr>
      <vt:lpstr>3_IPCA</vt:lpstr>
      <vt:lpstr>4_Dolar</vt:lpstr>
      <vt:lpstr>5_Parametros</vt:lpstr>
      <vt:lpstr>6_Modelo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2026-10-06T13:33:08Z</dcterms:created>
  <dcterms:modified xsi:type="dcterms:W3CDTF">2026-10-08T17:36:27Z</dcterms:modified>
  <dc:language>en-US</dc:language>
</cp:coreProperties>
</file>