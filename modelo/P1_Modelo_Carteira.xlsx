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DI" sheetId="1" state="visible" r:id="rId3"/>
    <sheet name="2_Selic" sheetId="2" state="visible" r:id="rId4"/>
    <sheet name="3_IPCA" sheetId="3" state="visible" r:id="rId5"/>
    <sheet name="4_Dolar" sheetId="4" state="visible" r:id="rId6"/>
    <sheet name="5_Parametros" sheetId="5" state="visible" r:id="rId7"/>
    <sheet name="6_Mode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<sst xmlns="http://schemas.openxmlformats.org/spreadsheetml/2006/main" count="3355" uniqueCount="1449">
  <si>
    <t xml:space="preserve">CDI - Serie SGS 12 (taxa % ao dia)</t>
  </si>
  <si>
    <t xml:space="preserve">Coluna auxiliar: equivalente mensal da taxa diaria, com 21 dias uteis. Formula dada pelo enunciado.</t>
  </si>
  <si>
    <t xml:space="preserve">Retorno medio mensal (%)</t>
  </si>
  <si>
    <t xml:space="preserve">Risco - desvio-padrao (%)</t>
  </si>
  <si>
    <t xml:space="preserve">Data</t>
  </si>
  <si>
    <t xml:space="preserve">Valor (% a.d.)</t>
  </si>
  <si>
    <t xml:space="preserve">Equivalente mensal (%)</t>
  </si>
  <si>
    <t xml:space="preserve">02/01/2023</t>
  </si>
  <si>
    <t xml:space="preserve">03/01/2023</t>
  </si>
  <si>
    <t xml:space="preserve">04/01/2023</t>
  </si>
  <si>
    <t xml:space="preserve">05/01/2023</t>
  </si>
  <si>
    <t xml:space="preserve">06/01/2023</t>
  </si>
  <si>
    <t xml:space="preserve">09/01/2023</t>
  </si>
  <si>
    <t xml:space="preserve">10/01/2023</t>
  </si>
  <si>
    <t xml:space="preserve">11/01/2023</t>
  </si>
  <si>
    <t xml:space="preserve">12/01/2023</t>
  </si>
  <si>
    <t xml:space="preserve">13/01/2023</t>
  </si>
  <si>
    <t xml:space="preserve">16/01/2023</t>
  </si>
  <si>
    <t xml:space="preserve">17/01/2023</t>
  </si>
  <si>
    <t xml:space="preserve">18/01/2023</t>
  </si>
  <si>
    <t xml:space="preserve">19/01/2023</t>
  </si>
  <si>
    <t xml:space="preserve">20/01/2023</t>
  </si>
  <si>
    <t xml:space="preserve">23/01/2023</t>
  </si>
  <si>
    <t xml:space="preserve">24/01/2023</t>
  </si>
  <si>
    <t xml:space="preserve">25/01/2023</t>
  </si>
  <si>
    <t xml:space="preserve">26/01/2023</t>
  </si>
  <si>
    <t xml:space="preserve">27/01/2023</t>
  </si>
  <si>
    <t xml:space="preserve">30/01/2023</t>
  </si>
  <si>
    <t xml:space="preserve">31/01/2023</t>
  </si>
  <si>
    <t xml:space="preserve">01/02/2023</t>
  </si>
  <si>
    <t xml:space="preserve">02/02/2023</t>
  </si>
  <si>
    <t xml:space="preserve">03/02/2023</t>
  </si>
  <si>
    <t xml:space="preserve">06/02/2023</t>
  </si>
  <si>
    <t xml:space="preserve">07/02/2023</t>
  </si>
  <si>
    <t xml:space="preserve">08/02/2023</t>
  </si>
  <si>
    <t xml:space="preserve">09/02/2023</t>
  </si>
  <si>
    <t xml:space="preserve">10/02/2023</t>
  </si>
  <si>
    <t xml:space="preserve">13/02/2023</t>
  </si>
  <si>
    <t xml:space="preserve">14/02/2023</t>
  </si>
  <si>
    <t xml:space="preserve">15/02/2023</t>
  </si>
  <si>
    <t xml:space="preserve">16/02/2023</t>
  </si>
  <si>
    <t xml:space="preserve">17/02/2023</t>
  </si>
  <si>
    <t xml:space="preserve">22/02/2023</t>
  </si>
  <si>
    <t xml:space="preserve">23/02/2023</t>
  </si>
  <si>
    <t xml:space="preserve">24/02/2023</t>
  </si>
  <si>
    <t xml:space="preserve">27/02/2023</t>
  </si>
  <si>
    <t xml:space="preserve">28/02/2023</t>
  </si>
  <si>
    <t xml:space="preserve">01/03/2023</t>
  </si>
  <si>
    <t xml:space="preserve">02/03/2023</t>
  </si>
  <si>
    <t xml:space="preserve">03/03/2023</t>
  </si>
  <si>
    <t xml:space="preserve">06/03/2023</t>
  </si>
  <si>
    <t xml:space="preserve">07/03/2023</t>
  </si>
  <si>
    <t xml:space="preserve">08/03/2023</t>
  </si>
  <si>
    <t xml:space="preserve">09/03/2023</t>
  </si>
  <si>
    <t xml:space="preserve">10/03/2023</t>
  </si>
  <si>
    <t xml:space="preserve">13/03/2023</t>
  </si>
  <si>
    <t xml:space="preserve">14/03/2023</t>
  </si>
  <si>
    <t xml:space="preserve">15/03/2023</t>
  </si>
  <si>
    <t xml:space="preserve">16/03/2023</t>
  </si>
  <si>
    <t xml:space="preserve">17/03/2023</t>
  </si>
  <si>
    <t xml:space="preserve">20/03/2023</t>
  </si>
  <si>
    <t xml:space="preserve">21/03/2023</t>
  </si>
  <si>
    <t xml:space="preserve">22/03/2023</t>
  </si>
  <si>
    <t xml:space="preserve">23/03/2023</t>
  </si>
  <si>
    <t xml:space="preserve">24/03/2023</t>
  </si>
  <si>
    <t xml:space="preserve">27/03/2023</t>
  </si>
  <si>
    <t xml:space="preserve">28/03/2023</t>
  </si>
  <si>
    <t xml:space="preserve">29/03/2023</t>
  </si>
  <si>
    <t xml:space="preserve">30/03/2023</t>
  </si>
  <si>
    <t xml:space="preserve">31/03/2023</t>
  </si>
  <si>
    <t xml:space="preserve">03/04/2023</t>
  </si>
  <si>
    <t xml:space="preserve">04/04/2023</t>
  </si>
  <si>
    <t xml:space="preserve">05/04/2023</t>
  </si>
  <si>
    <t xml:space="preserve">06/04/2023</t>
  </si>
  <si>
    <t xml:space="preserve">10/04/2023</t>
  </si>
  <si>
    <t xml:space="preserve">11/04/2023</t>
  </si>
  <si>
    <t xml:space="preserve">12/04/2023</t>
  </si>
  <si>
    <t xml:space="preserve">13/04/2023</t>
  </si>
  <si>
    <t xml:space="preserve">14/04/2023</t>
  </si>
  <si>
    <t xml:space="preserve">17/04/2023</t>
  </si>
  <si>
    <t xml:space="preserve">18/04/2023</t>
  </si>
  <si>
    <t xml:space="preserve">19/04/2023</t>
  </si>
  <si>
    <t xml:space="preserve">20/04/2023</t>
  </si>
  <si>
    <t xml:space="preserve">24/04/2023</t>
  </si>
  <si>
    <t xml:space="preserve">25/04/2023</t>
  </si>
  <si>
    <t xml:space="preserve">26/04/2023</t>
  </si>
  <si>
    <t xml:space="preserve">27/04/2023</t>
  </si>
  <si>
    <t xml:space="preserve">28/04/2023</t>
  </si>
  <si>
    <t xml:space="preserve">02/05/2023</t>
  </si>
  <si>
    <t xml:space="preserve">03/05/2023</t>
  </si>
  <si>
    <t xml:space="preserve">04/05/2023</t>
  </si>
  <si>
    <t xml:space="preserve">05/05/2023</t>
  </si>
  <si>
    <t xml:space="preserve">08/05/2023</t>
  </si>
  <si>
    <t xml:space="preserve">09/05/2023</t>
  </si>
  <si>
    <t xml:space="preserve">10/05/2023</t>
  </si>
  <si>
    <t xml:space="preserve">11/05/2023</t>
  </si>
  <si>
    <t xml:space="preserve">12/05/2023</t>
  </si>
  <si>
    <t xml:space="preserve">15/05/2023</t>
  </si>
  <si>
    <t xml:space="preserve">16/05/2023</t>
  </si>
  <si>
    <t xml:space="preserve">17/05/2023</t>
  </si>
  <si>
    <t xml:space="preserve">18/05/2023</t>
  </si>
  <si>
    <t xml:space="preserve">19/05/2023</t>
  </si>
  <si>
    <t xml:space="preserve">22/05/2023</t>
  </si>
  <si>
    <t xml:space="preserve">23/05/2023</t>
  </si>
  <si>
    <t xml:space="preserve">24/05/2023</t>
  </si>
  <si>
    <t xml:space="preserve">25/05/2023</t>
  </si>
  <si>
    <t xml:space="preserve">26/05/2023</t>
  </si>
  <si>
    <t xml:space="preserve">29/05/2023</t>
  </si>
  <si>
    <t xml:space="preserve">30/05/2023</t>
  </si>
  <si>
    <t xml:space="preserve">31/05/2023</t>
  </si>
  <si>
    <t xml:space="preserve">01/06/2023</t>
  </si>
  <si>
    <t xml:space="preserve">02/06/2023</t>
  </si>
  <si>
    <t xml:space="preserve">05/06/2023</t>
  </si>
  <si>
    <t xml:space="preserve">06/06/2023</t>
  </si>
  <si>
    <t xml:space="preserve">07/06/2023</t>
  </si>
  <si>
    <t xml:space="preserve">09/06/2023</t>
  </si>
  <si>
    <t xml:space="preserve">12/06/2023</t>
  </si>
  <si>
    <t xml:space="preserve">13/06/2023</t>
  </si>
  <si>
    <t xml:space="preserve">14/06/2023</t>
  </si>
  <si>
    <t xml:space="preserve">15/06/2023</t>
  </si>
  <si>
    <t xml:space="preserve">16/06/2023</t>
  </si>
  <si>
    <t xml:space="preserve">19/06/2023</t>
  </si>
  <si>
    <t xml:space="preserve">20/06/2023</t>
  </si>
  <si>
    <t xml:space="preserve">21/06/2023</t>
  </si>
  <si>
    <t xml:space="preserve">22/06/2023</t>
  </si>
  <si>
    <t xml:space="preserve">23/06/2023</t>
  </si>
  <si>
    <t xml:space="preserve">26/06/2023</t>
  </si>
  <si>
    <t xml:space="preserve">27/06/2023</t>
  </si>
  <si>
    <t xml:space="preserve">28/06/2023</t>
  </si>
  <si>
    <t xml:space="preserve">29/06/2023</t>
  </si>
  <si>
    <t xml:space="preserve">30/06/2023</t>
  </si>
  <si>
    <t xml:space="preserve">03/07/2023</t>
  </si>
  <si>
    <t xml:space="preserve">04/07/2023</t>
  </si>
  <si>
    <t xml:space="preserve">05/07/2023</t>
  </si>
  <si>
    <t xml:space="preserve">06/07/2023</t>
  </si>
  <si>
    <t xml:space="preserve">07/07/2023</t>
  </si>
  <si>
    <t xml:space="preserve">10/07/2023</t>
  </si>
  <si>
    <t xml:space="preserve">11/07/2023</t>
  </si>
  <si>
    <t xml:space="preserve">12/07/2023</t>
  </si>
  <si>
    <t xml:space="preserve">13/07/2023</t>
  </si>
  <si>
    <t xml:space="preserve">14/07/2023</t>
  </si>
  <si>
    <t xml:space="preserve">17/07/2023</t>
  </si>
  <si>
    <t xml:space="preserve">18/07/2023</t>
  </si>
  <si>
    <t xml:space="preserve">19/07/2023</t>
  </si>
  <si>
    <t xml:space="preserve">20/07/2023</t>
  </si>
  <si>
    <t xml:space="preserve">21/07/2023</t>
  </si>
  <si>
    <t xml:space="preserve">24/07/2023</t>
  </si>
  <si>
    <t xml:space="preserve">25/07/2023</t>
  </si>
  <si>
    <t xml:space="preserve">26/07/2023</t>
  </si>
  <si>
    <t xml:space="preserve">27/07/2023</t>
  </si>
  <si>
    <t xml:space="preserve">28/07/2023</t>
  </si>
  <si>
    <t xml:space="preserve">31/07/2023</t>
  </si>
  <si>
    <t xml:space="preserve">01/08/2023</t>
  </si>
  <si>
    <t xml:space="preserve">02/08/2023</t>
  </si>
  <si>
    <t xml:space="preserve">03/08/2023</t>
  </si>
  <si>
    <t xml:space="preserve">04/08/2023</t>
  </si>
  <si>
    <t xml:space="preserve">07/08/2023</t>
  </si>
  <si>
    <t xml:space="preserve">08/08/2023</t>
  </si>
  <si>
    <t xml:space="preserve">09/08/2023</t>
  </si>
  <si>
    <t xml:space="preserve">10/08/2023</t>
  </si>
  <si>
    <t xml:space="preserve">11/08/2023</t>
  </si>
  <si>
    <t xml:space="preserve">14/08/2023</t>
  </si>
  <si>
    <t xml:space="preserve">15/08/2023</t>
  </si>
  <si>
    <t xml:space="preserve">16/08/2023</t>
  </si>
  <si>
    <t xml:space="preserve">17/08/2023</t>
  </si>
  <si>
    <t xml:space="preserve">18/08/2023</t>
  </si>
  <si>
    <t xml:space="preserve">21/08/2023</t>
  </si>
  <si>
    <t xml:space="preserve">22/08/2023</t>
  </si>
  <si>
    <t xml:space="preserve">23/08/2023</t>
  </si>
  <si>
    <t xml:space="preserve">24/08/2023</t>
  </si>
  <si>
    <t xml:space="preserve">25/08/2023</t>
  </si>
  <si>
    <t xml:space="preserve">28/08/2023</t>
  </si>
  <si>
    <t xml:space="preserve">29/08/2023</t>
  </si>
  <si>
    <t xml:space="preserve">30/08/2023</t>
  </si>
  <si>
    <t xml:space="preserve">31/08/2023</t>
  </si>
  <si>
    <t xml:space="preserve">01/09/2023</t>
  </si>
  <si>
    <t xml:space="preserve">04/09/2023</t>
  </si>
  <si>
    <t xml:space="preserve">05/09/2023</t>
  </si>
  <si>
    <t xml:space="preserve">06/09/2023</t>
  </si>
  <si>
    <t xml:space="preserve">08/09/2023</t>
  </si>
  <si>
    <t xml:space="preserve">11/09/2023</t>
  </si>
  <si>
    <t xml:space="preserve">12/09/2023</t>
  </si>
  <si>
    <t xml:space="preserve">13/09/2023</t>
  </si>
  <si>
    <t xml:space="preserve">14/09/2023</t>
  </si>
  <si>
    <t xml:space="preserve">15/09/2023</t>
  </si>
  <si>
    <t xml:space="preserve">18/09/2023</t>
  </si>
  <si>
    <t xml:space="preserve">19/09/2023</t>
  </si>
  <si>
    <t xml:space="preserve">20/09/2023</t>
  </si>
  <si>
    <t xml:space="preserve">21/09/2023</t>
  </si>
  <si>
    <t xml:space="preserve">22/09/2023</t>
  </si>
  <si>
    <t xml:space="preserve">25/09/2023</t>
  </si>
  <si>
    <t xml:space="preserve">26/09/2023</t>
  </si>
  <si>
    <t xml:space="preserve">27/09/2023</t>
  </si>
  <si>
    <t xml:space="preserve">28/09/2023</t>
  </si>
  <si>
    <t xml:space="preserve">29/09/2023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</si>
  <si>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</si>
  <si>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</si>
  <si>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</si>
  <si>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</si>
  <si>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</si>
  <si>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09/10/2023</t>
  </si>
  <si>
    <t xml:space="preserve">10/10/2023</t>
  </si>
  <si>
    <t xml:space="preserve">11/10/2023</t>
  </si>
  <si>
    <t xml:space="preserve">13/10/2023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</si>
  <si>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</si>
  <si>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</si>
  <si>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</si>
  <si>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</si>
  <si>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</si>
  <si>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</si>
  <si>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</si>
  <si>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</si>
  <si>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</si>
  <si>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</si>
  <si>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30/10/2023</t>
  </si>
  <si>
    <t xml:space="preserve">31/10/2023</t>
  </si>
  <si>
    <t xml:space="preserve">01/11/2023</t>
  </si>
  <si>
    <t xml:space="preserve">03/11/2023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</si>
  <si>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</si>
  <si>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</si>
  <si>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</si>
  <si>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</si>
  <si>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</si>
  <si>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13/11/2023</t>
  </si>
  <si>
    <t xml:space="preserve">14/11/2023</t>
  </si>
  <si>
    <t xml:space="preserve">16/11/2023</t>
  </si>
  <si>
    <t xml:space="preserve">17/11/2023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</si>
  <si>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</si>
  <si>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</si>
  <si>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</si>
  <si>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</si>
  <si>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</si>
  <si>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</si>
  <si>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</si>
  <si>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</si>
  <si>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</si>
  <si>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</si>
  <si>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</si>
  <si>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</si>
  <si>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</si>
  <si>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</si>
  <si>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</si>
  <si>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</si>
  <si>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</si>
  <si>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</si>
  <si>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</si>
  <si>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</si>
  <si>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</si>
  <si>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</si>
  <si>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</si>
  <si>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</si>
  <si>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</si>
  <si>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</si>
  <si>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</si>
  <si>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</si>
  <si>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</si>
  <si>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</si>
  <si>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</si>
  <si>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</si>
  <si>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</si>
  <si>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</si>
  <si>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</si>
  <si>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</si>
  <si>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</si>
  <si>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</si>
  <si>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</si>
  <si>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</si>
  <si>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</si>
  <si>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</si>
  <si>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</si>
  <si>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</si>
  <si>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</si>
  <si>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</si>
  <si>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</si>
  <si>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</si>
  <si>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29/01/2024</t>
  </si>
  <si>
    <t xml:space="preserve">30/01/2024</t>
  </si>
  <si>
    <t xml:space="preserve">31/01/2024</t>
  </si>
  <si>
    <t xml:space="preserve">01/02/2024</t>
  </si>
  <si>
    <t xml:space="preserve">02/02/2024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</si>
  <si>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</si>
  <si>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</si>
  <si>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</si>
  <si>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</si>
  <si>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</si>
  <si>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14/02/2024</t>
  </si>
  <si>
    <t xml:space="preserve">15/02/2024</t>
  </si>
  <si>
    <t xml:space="preserve">16/02/2024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</si>
  <si>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</si>
  <si>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</si>
  <si>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</si>
  <si>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</si>
  <si>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</si>
  <si>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26/02/2024</t>
  </si>
  <si>
    <t xml:space="preserve">27/02/2024</t>
  </si>
  <si>
    <t xml:space="preserve">28/02/2024</t>
  </si>
  <si>
    <t xml:space="preserve">29/02/2024</t>
  </si>
  <si>
    <t xml:space="preserve">01/03/2024</t>
  </si>
  <si>
    <t xml:space="preserve">04/03/2024</t>
  </si>
  <si>
    <t xml:space="preserve">05/03/2024</t>
  </si>
  <si>
    <t xml:space="preserve">06/03/2024</t>
  </si>
  <si>
    <t xml:space="preserve">07/03/2024</t>
  </si>
  <si>
    <t xml:space="preserve">08/03/2024</t>
  </si>
  <si>
    <t xml:space="preserve">11/03/2024</t>
  </si>
  <si>
    <t xml:space="preserve">12/03/2024</t>
  </si>
  <si>
    <t xml:space="preserve">13/03/2024</t>
  </si>
  <si>
    <t xml:space="preserve">14/03/2024</t>
  </si>
  <si>
    <t xml:space="preserve">15/03/2024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</si>
  <si>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</si>
  <si>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</si>
  <si>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</si>
  <si>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</si>
  <si>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</si>
  <si>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</si>
  <si>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</si>
  <si>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</si>
  <si>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</si>
  <si>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01/04/2024</t>
  </si>
  <si>
    <t xml:space="preserve">02/04/2024</t>
  </si>
  <si>
    <t xml:space="preserve">03/04/2024</t>
  </si>
  <si>
    <t xml:space="preserve">04/04/2024</t>
  </si>
  <si>
    <t xml:space="preserve">05/04/2024</t>
  </si>
  <si>
    <t xml:space="preserve">08/04/2024</t>
  </si>
  <si>
    <t xml:space="preserve">09/04/2024</t>
  </si>
  <si>
    <t xml:space="preserve">10/04/2024</t>
  </si>
  <si>
    <t xml:space="preserve">11/04/2024</t>
  </si>
  <si>
    <t xml:space="preserve">12/04/2024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</si>
  <si>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</si>
  <si>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</si>
  <si>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</si>
  <si>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</si>
  <si>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</si>
  <si>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22/04/2024</t>
  </si>
  <si>
    <t xml:space="preserve">23/04/2024</t>
  </si>
  <si>
    <t xml:space="preserve">24/04/2024</t>
  </si>
  <si>
    <t xml:space="preserve">25/04/2024</t>
  </si>
  <si>
    <t xml:space="preserve">26/04/2024</t>
  </si>
  <si>
    <t xml:space="preserve">29/04/2024</t>
  </si>
  <si>
    <t xml:space="preserve">30/04/2024</t>
  </si>
  <si>
    <t xml:space="preserve">02/05/2024</t>
  </si>
  <si>
    <t xml:space="preserve">03/05/2024</t>
  </si>
  <si>
    <t xml:space="preserve">06/05/2024</t>
  </si>
  <si>
    <t xml:space="preserve">07/05/2024</t>
  </si>
  <si>
    <t xml:space="preserve">08/05/2024</t>
  </si>
  <si>
    <t xml:space="preserve">09/05/2024</t>
  </si>
  <si>
    <t xml:space="preserve">10/05/2024</t>
  </si>
  <si>
    <t xml:space="preserve">13/05/2024</t>
  </si>
  <si>
    <t xml:space="preserve">14/05/2024</t>
  </si>
  <si>
    <t xml:space="preserve">15/05/2024</t>
  </si>
  <si>
    <t xml:space="preserve">16/05/2024</t>
  </si>
  <si>
    <t xml:space="preserve">17/05/2024</t>
  </si>
  <si>
    <t xml:space="preserve">20/05/2024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</si>
  <si>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</si>
  <si>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</si>
  <si>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</si>
  <si>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</si>
  <si>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27/05/2024</t>
  </si>
  <si>
    <t xml:space="preserve">28/05/2024</t>
  </si>
  <si>
    <t xml:space="preserve">29/05/2024</t>
  </si>
  <si>
    <t xml:space="preserve">31/05/2024</t>
  </si>
  <si>
    <t xml:space="preserve">03/06/2024</t>
  </si>
  <si>
    <t xml:space="preserve">04/06/2024</t>
  </si>
  <si>
    <t xml:space="preserve">05/06/2024</t>
  </si>
  <si>
    <t xml:space="preserve">06/06/2024</t>
  </si>
  <si>
    <t xml:space="preserve">07/06/2024</t>
  </si>
  <si>
    <t xml:space="preserve">10/06/2024</t>
  </si>
  <si>
    <t xml:space="preserve">11/06/2024</t>
  </si>
  <si>
    <t xml:space="preserve">12/06/2024</t>
  </si>
  <si>
    <t xml:space="preserve">13/06/2024</t>
  </si>
  <si>
    <t xml:space="preserve">14/06/2024</t>
  </si>
  <si>
    <t xml:space="preserve">17/06/2024</t>
  </si>
  <si>
    <t xml:space="preserve">18/06/2024</t>
  </si>
  <si>
    <t xml:space="preserve">19/06/2024</t>
  </si>
  <si>
    <t xml:space="preserve">20/06/2024</t>
  </si>
  <si>
    <t xml:space="preserve">21/06/2024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</si>
  <si>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</si>
  <si>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</si>
  <si>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</si>
  <si>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</si>
  <si>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28/06/2024</t>
  </si>
  <si>
    <t xml:space="preserve">01/07/2024</t>
  </si>
  <si>
    <t xml:space="preserve">02/07/2024</t>
  </si>
  <si>
    <t xml:space="preserve">03/07/2024</t>
  </si>
  <si>
    <t xml:space="preserve">04/07/2024</t>
  </si>
  <si>
    <t xml:space="preserve">05/07/2024</t>
  </si>
  <si>
    <t xml:space="preserve">08/07/2024</t>
  </si>
  <si>
    <t xml:space="preserve">09/07/2024</t>
  </si>
  <si>
    <t xml:space="preserve">10/07/2024</t>
  </si>
  <si>
    <t xml:space="preserve">11/07/2024</t>
  </si>
  <si>
    <t xml:space="preserve">12/07/2024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</si>
  <si>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</si>
  <si>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</si>
  <si>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</si>
  <si>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</si>
  <si>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19/07/2024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</si>
  <si>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</si>
  <si>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</si>
  <si>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</si>
  <si>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</si>
  <si>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26/07/2024</t>
  </si>
  <si>
    <t xml:space="preserve">29/07/2024</t>
  </si>
  <si>
    <t xml:space="preserve">30/07/2024</t>
  </si>
  <si>
    <t xml:space="preserve">31/07/2024</t>
  </si>
  <si>
    <t xml:space="preserve">01/08/2024</t>
  </si>
  <si>
    <t xml:space="preserve">02/08/2024</t>
  </si>
  <si>
    <t xml:space="preserve">05/08/2024</t>
  </si>
  <si>
    <t xml:space="preserve">06/08/2024</t>
  </si>
  <si>
    <t xml:space="preserve">07/08/2024</t>
  </si>
  <si>
    <t xml:space="preserve">08/08/2024</t>
  </si>
  <si>
    <t xml:space="preserve">09/08/2024</t>
  </si>
  <si>
    <t xml:space="preserve">12/08/2024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</si>
  <si>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</si>
  <si>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</si>
  <si>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</si>
  <si>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</si>
  <si>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</si>
  <si>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</si>
  <si>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</si>
  <si>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</si>
  <si>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</si>
  <si>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</si>
  <si>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</si>
  <si>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</si>
  <si>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</si>
  <si>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30/08/2024</t>
  </si>
  <si>
    <t xml:space="preserve">02/09/2024</t>
  </si>
  <si>
    <t xml:space="preserve">03/09/2024</t>
  </si>
  <si>
    <t xml:space="preserve">04/09/2024</t>
  </si>
  <si>
    <t xml:space="preserve">05/09/2024</t>
  </si>
  <si>
    <t xml:space="preserve">06/09/2024</t>
  </si>
  <si>
    <t xml:space="preserve">09/09/2024</t>
  </si>
  <si>
    <t xml:space="preserve">10/09/2024</t>
  </si>
  <si>
    <t xml:space="preserve">11/09/2024</t>
  </si>
  <si>
    <t xml:space="preserve">12/09/2024</t>
  </si>
  <si>
    <t xml:space="preserve">13/09/2024</t>
  </si>
  <si>
    <t xml:space="preserve">16/09/2024</t>
  </si>
  <si>
    <t xml:space="preserve">17/09/2024</t>
  </si>
  <si>
    <t xml:space="preserve">18/09/2024</t>
  </si>
  <si>
    <t xml:space="preserve">19/09/2024</t>
  </si>
  <si>
    <t xml:space="preserve">20/09/2024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</si>
  <si>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</si>
  <si>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</si>
  <si>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</si>
  <si>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</si>
  <si>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</si>
  <si>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30/09/2024</t>
  </si>
  <si>
    <t xml:space="preserve">01/10/2024</t>
  </si>
  <si>
    <t xml:space="preserve">02/10/2024</t>
  </si>
  <si>
    <t xml:space="preserve">03/10/2024</t>
  </si>
  <si>
    <t xml:space="preserve">04/10/2024</t>
  </si>
  <si>
    <t xml:space="preserve">07/10/2024</t>
  </si>
  <si>
    <t xml:space="preserve">08/10/2024</t>
  </si>
  <si>
    <t xml:space="preserve">09/10/2024</t>
  </si>
  <si>
    <t xml:space="preserve">10/10/2024</t>
  </si>
  <si>
    <t xml:space="preserve">11/10/2024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</si>
  <si>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</si>
  <si>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</si>
  <si>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</si>
  <si>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</si>
  <si>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</si>
  <si>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</si>
  <si>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</si>
  <si>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</si>
  <si>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</si>
  <si>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</si>
  <si>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</si>
  <si>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</si>
  <si>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</si>
  <si>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</si>
  <si>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</si>
  <si>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</si>
  <si>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</si>
  <si>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</si>
  <si>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</si>
  <si>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</si>
  <si>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11/11/2024</t>
  </si>
  <si>
    <t xml:space="preserve">12/11/2024</t>
  </si>
  <si>
    <t xml:space="preserve">13/11/2024</t>
  </si>
  <si>
    <t xml:space="preserve">14/11/2024</t>
  </si>
  <si>
    <t xml:space="preserve">18/11/2024</t>
  </si>
  <si>
    <t xml:space="preserve">19/11/2024</t>
  </si>
  <si>
    <t xml:space="preserve">21/11/2024</t>
  </si>
  <si>
    <t xml:space="preserve">22/11/2024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</si>
  <si>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</si>
  <si>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</si>
  <si>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</si>
  <si>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</si>
  <si>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</si>
  <si>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02/12/2024</t>
  </si>
  <si>
    <t xml:space="preserve">03/12/2024</t>
  </si>
  <si>
    <t xml:space="preserve">04/12/2024</t>
  </si>
  <si>
    <t xml:space="preserve">05/12/2024</t>
  </si>
  <si>
    <t xml:space="preserve">06/12/2024</t>
  </si>
  <si>
    <t xml:space="preserve">09/12/2024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</si>
  <si>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</si>
  <si>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</si>
  <si>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</si>
  <si>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</si>
  <si>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</si>
  <si>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</si>
  <si>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</si>
  <si>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</si>
  <si>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</si>
  <si>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23/12/2024</t>
  </si>
  <si>
    <t xml:space="preserve">24/12/2024</t>
  </si>
  <si>
    <t xml:space="preserve">26/12/2024</t>
  </si>
  <si>
    <t xml:space="preserve">27/12/2024</t>
  </si>
  <si>
    <t xml:space="preserve">30/12/2024</t>
  </si>
  <si>
    <t xml:space="preserve">31/12/2024</t>
  </si>
  <si>
    <t xml:space="preserve">02/01/2025</t>
  </si>
  <si>
    <t xml:space="preserve">03/01/2025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</si>
  <si>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</si>
  <si>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</si>
  <si>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</si>
  <si>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</si>
  <si>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</si>
  <si>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</si>
  <si>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</si>
  <si>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</si>
  <si>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</si>
  <si>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</si>
  <si>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</si>
  <si>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</si>
  <si>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</si>
  <si>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</si>
  <si>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</si>
  <si>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</si>
  <si>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</si>
  <si>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</si>
  <si>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</si>
  <si>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</si>
  <si>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</si>
  <si>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</si>
  <si>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</si>
  <si>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</si>
  <si>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</si>
  <si>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</si>
  <si>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</si>
  <si>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</si>
  <si>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</si>
  <si>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</si>
  <si>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</si>
  <si>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</si>
  <si>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</si>
  <si>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</si>
  <si>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</si>
  <si>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</si>
  <si>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</si>
  <si>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</si>
  <si>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</si>
  <si>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</si>
  <si>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05/03/2025</t>
  </si>
  <si>
    <t xml:space="preserve">06/03/2025</t>
  </si>
  <si>
    <t xml:space="preserve">07/03/2025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</si>
  <si>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</si>
  <si>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</si>
  <si>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</si>
  <si>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</si>
  <si>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</si>
  <si>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</si>
  <si>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</si>
  <si>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</si>
  <si>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</si>
  <si>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</si>
  <si>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</si>
  <si>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</si>
  <si>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</si>
  <si>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</si>
  <si>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</si>
  <si>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31/03/2025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</si>
  <si>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</si>
  <si>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</si>
  <si>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</si>
  <si>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</si>
  <si>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</si>
  <si>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</si>
  <si>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</si>
  <si>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</si>
  <si>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</si>
  <si>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</si>
  <si>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</si>
  <si>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</si>
  <si>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</si>
  <si>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</si>
  <si>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</si>
  <si>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</si>
  <si>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</si>
  <si>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28/04/2025</t>
  </si>
  <si>
    <t xml:space="preserve">29/04/2025</t>
  </si>
  <si>
    <t xml:space="preserve">30/04/2025</t>
  </si>
  <si>
    <t xml:space="preserve">02/05/2025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</si>
  <si>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</si>
  <si>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</si>
  <si>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</si>
  <si>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</si>
  <si>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</si>
  <si>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</si>
  <si>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</si>
  <si>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</si>
  <si>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</si>
  <si>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</si>
  <si>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</si>
  <si>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</si>
  <si>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</si>
  <si>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</si>
  <si>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</si>
  <si>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</si>
  <si>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</si>
  <si>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</si>
  <si>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</si>
  <si>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</si>
  <si>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</si>
  <si>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</si>
  <si>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</si>
  <si>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</si>
  <si>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</si>
  <si>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</si>
  <si>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</si>
  <si>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</si>
  <si>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</si>
  <si>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</si>
  <si>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16/06/2025</t>
  </si>
  <si>
    <t xml:space="preserve">17/06/2025</t>
  </si>
  <si>
    <t xml:space="preserve">18/06/2025</t>
  </si>
  <si>
    <t xml:space="preserve">20/06/2025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</si>
  <si>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</si>
  <si>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</si>
  <si>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</si>
  <si>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</si>
  <si>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</si>
  <si>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30/06/2025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</si>
  <si>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</si>
  <si>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</si>
  <si>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</si>
  <si>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</si>
  <si>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</si>
  <si>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</si>
  <si>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</si>
  <si>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</si>
  <si>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</si>
  <si>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</si>
  <si>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</si>
  <si>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</si>
  <si>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</si>
  <si>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</si>
  <si>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</si>
  <si>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</si>
  <si>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</si>
  <si>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</si>
  <si>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</si>
  <si>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</si>
  <si>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</si>
  <si>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</si>
  <si>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</si>
  <si>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</si>
  <si>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</si>
  <si>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</si>
  <si>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</si>
  <si>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</si>
  <si>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</si>
  <si>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</si>
  <si>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</si>
  <si>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</si>
  <si>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</si>
  <si>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</si>
  <si>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</si>
  <si>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</si>
  <si>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</si>
  <si>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</si>
  <si>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</si>
  <si>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</si>
  <si>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</si>
  <si>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</si>
  <si>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</si>
  <si>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</si>
  <si>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</si>
  <si>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</si>
  <si>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</si>
  <si>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</si>
  <si>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</si>
  <si>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</si>
  <si>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</si>
  <si>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</si>
  <si>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</si>
  <si>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</si>
  <si>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</si>
  <si>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</si>
  <si>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</si>
  <si>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</si>
  <si>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</si>
  <si>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</si>
  <si>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</si>
  <si>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</si>
  <si>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</si>
  <si>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</si>
  <si>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</si>
  <si>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</si>
  <si>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</si>
  <si>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</si>
  <si>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</si>
  <si>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</si>
  <si>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</si>
  <si>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</si>
  <si>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</si>
  <si>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</si>
  <si>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</si>
  <si>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</si>
  <si>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</si>
  <si>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</si>
  <si>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</si>
  <si>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</si>
  <si>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</si>
  <si>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</si>
  <si>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</si>
  <si>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</si>
  <si>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</si>
  <si>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</si>
  <si>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</si>
  <si>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</si>
  <si>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</si>
  <si>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</si>
  <si>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</si>
  <si>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</si>
  <si>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</si>
  <si>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</si>
  <si>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</si>
  <si>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</si>
  <si>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</si>
  <si>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</si>
  <si>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</si>
  <si>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17/11/2025</t>
  </si>
  <si>
    <t xml:space="preserve">18/11/2025</t>
  </si>
  <si>
    <t xml:space="preserve">19/11/2025</t>
  </si>
  <si>
    <t xml:space="preserve">21/11/2025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</si>
  <si>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</si>
  <si>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</si>
  <si>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</si>
  <si>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</si>
  <si>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</si>
  <si>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</si>
  <si>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</si>
  <si>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</si>
  <si>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</si>
  <si>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</si>
  <si>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</si>
  <si>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</si>
  <si>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</si>
  <si>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</si>
  <si>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</si>
  <si>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</si>
  <si>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</si>
  <si>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</si>
  <si>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</si>
  <si>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</si>
  <si>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22/12/2025</t>
  </si>
  <si>
    <t xml:space="preserve">23/12/2025</t>
  </si>
  <si>
    <t xml:space="preserve">24/12/2025</t>
  </si>
  <si>
    <t xml:space="preserve">26/12/2025</t>
  </si>
  <si>
    <t xml:space="preserve">29/12/2025</t>
  </si>
  <si>
    <t xml:space="preserve">30/12/2025</t>
  </si>
  <si>
    <t xml:space="preserve">31/12/2025</t>
  </si>
  <si>
    <t xml:space="preserve">02/01/2026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</si>
  <si>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</si>
  <si>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</si>
  <si>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</si>
  <si>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</si>
  <si>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</si>
  <si>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</si>
  <si>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</si>
  <si>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</si>
  <si>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</si>
  <si>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</si>
  <si>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</si>
  <si>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</si>
  <si>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</si>
  <si>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</si>
  <si>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</si>
  <si>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</si>
  <si>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</si>
  <si>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</si>
  <si>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</si>
  <si>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</si>
  <si>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</si>
  <si>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</si>
  <si>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</si>
  <si>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</si>
  <si>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</si>
  <si>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</si>
  <si>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</si>
  <si>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</si>
  <si>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</si>
  <si>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</si>
  <si>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18/02/2026</t>
  </si>
  <si>
    <t xml:space="preserve">19/02/2026</t>
  </si>
  <si>
    <t xml:space="preserve">20/02/2026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</si>
  <si>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</si>
  <si>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</si>
  <si>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</si>
  <si>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</si>
  <si>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</si>
  <si>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</si>
  <si>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</si>
  <si>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</si>
  <si>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</si>
  <si>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</si>
  <si>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</si>
  <si>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</si>
  <si>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</si>
  <si>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</si>
  <si>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</si>
  <si>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</si>
  <si>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</si>
  <si>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</si>
  <si>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</si>
  <si>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</si>
  <si>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</si>
  <si>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</si>
  <si>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</si>
  <si>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</si>
  <si>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</si>
  <si>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30/03/2026</t>
  </si>
  <si>
    <t xml:space="preserve">31/03/2026</t>
  </si>
  <si>
    <t xml:space="preserve">01/04/2026</t>
  </si>
  <si>
    <t xml:space="preserve">02/04/2026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</si>
  <si>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</si>
  <si>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</si>
  <si>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</si>
  <si>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</si>
  <si>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</si>
  <si>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</si>
  <si>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</si>
  <si>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</si>
  <si>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</si>
  <si>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</si>
  <si>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20/04/2026</t>
  </si>
  <si>
    <t xml:space="preserve">22/04/2026</t>
  </si>
  <si>
    <t xml:space="preserve">23/04/2026</t>
  </si>
  <si>
    <t xml:space="preserve">24/04/2026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</si>
  <si>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</si>
  <si>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</si>
  <si>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</si>
  <si>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</si>
  <si>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04/05/2026</t>
  </si>
  <si>
    <t xml:space="preserve">05/05/2026</t>
  </si>
  <si>
    <t xml:space="preserve">06/05/2026</t>
  </si>
  <si>
    <t xml:space="preserve">07/05/2026</t>
  </si>
  <si>
    <t xml:space="preserve">08/05/2026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</si>
  <si>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</si>
  <si>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</si>
  <si>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</si>
  <si>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</si>
  <si>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</si>
  <si>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</si>
  <si>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</si>
  <si>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</si>
  <si>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</si>
  <si>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</si>
  <si>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</si>
  <si>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</si>
  <si>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</si>
  <si>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</si>
  <si>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</si>
  <si>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01/06/2026</t>
  </si>
  <si>
    <t xml:space="preserve">02/06/2026</t>
  </si>
  <si>
    <t xml:space="preserve">03/06/2026</t>
  </si>
  <si>
    <t xml:space="preserve">05/06/2026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</si>
  <si>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</si>
  <si>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</si>
  <si>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</si>
  <si>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</si>
  <si>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</si>
  <si>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</si>
  <si>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</si>
  <si>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</si>
  <si>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</si>
  <si>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</si>
  <si>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</si>
  <si>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</si>
  <si>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</si>
  <si>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</si>
  <si>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</si>
  <si>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29/06/2026</t>
  </si>
  <si>
    <t xml:space="preserve">30/06/2026</t>
  </si>
  <si>
    <t xml:space="preserve">01/07/2026</t>
  </si>
  <si>
    <t xml:space="preserve">02/07/2026</t>
  </si>
  <si>
    <t xml:space="preserve">03/07/2026</t>
  </si>
  <si>
    <t xml:space="preserve">06/07/2026</t>
  </si>
  <si>
    <t xml:space="preserve">07/07/2026</t>
  </si>
  <si>
    <t xml:space="preserve">08/07/2026</t>
  </si>
  <si>
    <t xml:space="preserve">09/07/2026</t>
  </si>
  <si>
    <t xml:space="preserve">10/07/2026</t>
  </si>
  <si>
    <t xml:space="preserve">13/07/2026</t>
  </si>
  <si>
    <t xml:space="preserve">14/07/2026</t>
  </si>
  <si>
    <t xml:space="preserve">15/07/2026</t>
  </si>
  <si>
    <t xml:space="preserve">16/07/2026</t>
  </si>
  <si>
    <t xml:space="preserve">17/07/2026</t>
  </si>
  <si>
    <t xml:space="preserve">20/07/2026</t>
  </si>
  <si>
    <t xml:space="preserve">21/07/2026</t>
  </si>
  <si>
    <t xml:space="preserve">22/07/2026</t>
  </si>
  <si>
    <t xml:space="preserve">23/07/2026</t>
  </si>
  <si>
    <t xml:space="preserve">24/07/2026</t>
  </si>
  <si>
    <t xml:space="preserve">27/07/2026</t>
  </si>
  <si>
    <t xml:space="preserve">28/07/2026</t>
  </si>
  <si>
    <t xml:space="preserve">29/07/2026</t>
  </si>
  <si>
    <t xml:space="preserve">30/07/2026</t>
  </si>
  <si>
    <t xml:space="preserve">31/07/2026</t>
  </si>
  <si>
    <t xml:space="preserve">03/08/2026</t>
  </si>
  <si>
    <t xml:space="preserve">04/08/2026</t>
  </si>
  <si>
    <t xml:space="preserve">05/08/2026</t>
  </si>
  <si>
    <t xml:space="preserve">06/08/2026</t>
  </si>
  <si>
    <t xml:space="preserve">07/08/2026</t>
  </si>
  <si>
    <t xml:space="preserve">10/08/2026</t>
  </si>
  <si>
    <t xml:space="preserve">11/08/2026</t>
  </si>
  <si>
    <t xml:space="preserve">12/08/2026</t>
  </si>
  <si>
    <t xml:space="preserve">13/08/2026</t>
  </si>
  <si>
    <t xml:space="preserve">14/08/2026</t>
  </si>
  <si>
    <t xml:space="preserve">17/08/2026</t>
  </si>
  <si>
    <t xml:space="preserve">18/08/2026</t>
  </si>
  <si>
    <t xml:space="preserve">19/08/2026</t>
  </si>
  <si>
    <t xml:space="preserve">20/08/2026</t>
  </si>
  <si>
    <t xml:space="preserve">21/08/2026</t>
  </si>
  <si>
    <t xml:space="preserve">24/08/2026</t>
  </si>
  <si>
    <t xml:space="preserve">25/08/2026</t>
  </si>
  <si>
    <t xml:space="preserve">26/08/2026</t>
  </si>
  <si>
    <t xml:space="preserve">27/08/2026</t>
  </si>
  <si>
    <t xml:space="preserve">28/08/2026</t>
  </si>
  <si>
    <t xml:space="preserve">31/08/2026</t>
  </si>
  <si>
    <t xml:space="preserve">01/09/2026</t>
  </si>
  <si>
    <t xml:space="preserve">Selic meta - Serie SGS 432 (taxa % ao ano)</t>
  </si>
  <si>
    <t xml:space="preserve">Coluna auxiliar: equivalente mensal da taxa anual. Base do retorno dos titulos prefixados.</t>
  </si>
  <si>
    <t xml:space="preserve">Valor (% a.a.)</t>
  </si>
  <si>
    <t xml:space="preserve">01/01/2023</t>
  </si>
  <si>
    <t xml:space="preserve">07/01/2023</t>
  </si>
  <si>
    <t xml:space="preserve">08/01/2023</t>
  </si>
  <si>
    <t xml:space="preserve">14/01/2023</t>
  </si>
  <si>
    <t xml:space="preserve">15/01/2023</t>
  </si>
  <si>
    <t xml:space="preserve">21/01/2023</t>
  </si>
  <si>
    <t xml:space="preserve">22/01/2023</t>
  </si>
  <si>
    <t xml:space="preserve">28/01/2023</t>
  </si>
  <si>
    <t xml:space="preserve">29/01/2023</t>
  </si>
  <si>
    <t xml:space="preserve">04/02/2023</t>
  </si>
  <si>
    <t xml:space="preserve">05/02/2023</t>
  </si>
  <si>
    <t xml:space="preserve">11/02/2023</t>
  </si>
  <si>
    <t xml:space="preserve">12/02/2023</t>
  </si>
  <si>
    <t xml:space="preserve">18/02/2023</t>
  </si>
  <si>
    <t xml:space="preserve">19/02/2023</t>
  </si>
  <si>
    <t xml:space="preserve">20/02/2023</t>
  </si>
  <si>
    <t xml:space="preserve">21/02/2023</t>
  </si>
  <si>
    <t xml:space="preserve">25/02/2023</t>
  </si>
  <si>
    <t xml:space="preserve">26/02/2023</t>
  </si>
  <si>
    <t xml:space="preserve">04/03/2023</t>
  </si>
  <si>
    <t xml:space="preserve">05/03/2023</t>
  </si>
  <si>
    <t xml:space="preserve">11/03/2023</t>
  </si>
  <si>
    <t xml:space="preserve">12/03/2023</t>
  </si>
  <si>
    <t xml:space="preserve">18/03/2023</t>
  </si>
  <si>
    <t xml:space="preserve">19/03/2023</t>
  </si>
  <si>
    <t xml:space="preserve">25/03/2023</t>
  </si>
  <si>
    <t xml:space="preserve">26/03/2023</t>
  </si>
  <si>
    <t xml:space="preserve">01/04/2023</t>
  </si>
  <si>
    <t xml:space="preserve">02/04/2023</t>
  </si>
  <si>
    <t xml:space="preserve">07/04/2023</t>
  </si>
  <si>
    <t xml:space="preserve">08/04/2023</t>
  </si>
  <si>
    <t xml:space="preserve">09/04/2023</t>
  </si>
  <si>
    <t xml:space="preserve">15/04/2023</t>
  </si>
  <si>
    <t xml:space="preserve">16/04/2023</t>
  </si>
  <si>
    <t xml:space="preserve">21/04/2023</t>
  </si>
  <si>
    <t xml:space="preserve">22/04/2023</t>
  </si>
  <si>
    <t xml:space="preserve">23/04/2023</t>
  </si>
  <si>
    <t xml:space="preserve">29/04/2023</t>
  </si>
  <si>
    <t xml:space="preserve">30/04/2023</t>
  </si>
  <si>
    <t xml:space="preserve">01/05/2023</t>
  </si>
  <si>
    <t xml:space="preserve">06/05/2023</t>
  </si>
  <si>
    <t xml:space="preserve">07/05/2023</t>
  </si>
  <si>
    <t xml:space="preserve">13/05/2023</t>
  </si>
  <si>
    <t xml:space="preserve">14/05/2023</t>
  </si>
  <si>
    <t xml:space="preserve">20/05/2023</t>
  </si>
  <si>
    <t xml:space="preserve">21/05/2023</t>
  </si>
  <si>
    <t xml:space="preserve">27/05/2023</t>
  </si>
  <si>
    <t xml:space="preserve">28/05/2023</t>
  </si>
  <si>
    <t xml:space="preserve">03/06/2023</t>
  </si>
  <si>
    <t xml:space="preserve">04/06/2023</t>
  </si>
  <si>
    <t xml:space="preserve">08/06/2023</t>
  </si>
  <si>
    <t xml:space="preserve">10/06/2023</t>
  </si>
  <si>
    <t xml:space="preserve">11/06/2023</t>
  </si>
  <si>
    <t xml:space="preserve">17/06/2023</t>
  </si>
  <si>
    <t xml:space="preserve">18/06/2023</t>
  </si>
  <si>
    <t xml:space="preserve">24/06/2023</t>
  </si>
  <si>
    <t xml:space="preserve">25/06/2023</t>
  </si>
  <si>
    <t xml:space="preserve">01/07/2023</t>
  </si>
  <si>
    <t xml:space="preserve">02/07/2023</t>
  </si>
  <si>
    <t xml:space="preserve">08/07/2023</t>
  </si>
  <si>
    <t xml:space="preserve">09/07/2023</t>
  </si>
  <si>
    <t xml:space="preserve">15/07/2023</t>
  </si>
  <si>
    <t xml:space="preserve">16/07/2023</t>
  </si>
  <si>
    <t xml:space="preserve">22/07/2023</t>
  </si>
  <si>
    <t xml:space="preserve">23/07/2023</t>
  </si>
  <si>
    <t xml:space="preserve">29/07/2023</t>
  </si>
  <si>
    <t xml:space="preserve">30/07/2023</t>
  </si>
  <si>
    <t xml:space="preserve">05/08/2023</t>
  </si>
  <si>
    <t xml:space="preserve">06/08/2023</t>
  </si>
  <si>
    <t xml:space="preserve">12/08/2023</t>
  </si>
  <si>
    <t xml:space="preserve">13/08/2023</t>
  </si>
  <si>
    <t xml:space="preserve">19/08/2023</t>
  </si>
  <si>
    <t xml:space="preserve">20/08/2023</t>
  </si>
  <si>
    <t xml:space="preserve">26/08/2023</t>
  </si>
  <si>
    <t xml:space="preserve">27/08/2023</t>
  </si>
  <si>
    <t xml:space="preserve">02/09/2023</t>
  </si>
  <si>
    <t xml:space="preserve">03/09/2023</t>
  </si>
  <si>
    <t xml:space="preserve">07/09/2023</t>
  </si>
  <si>
    <t xml:space="preserve">09/09/2023</t>
  </si>
  <si>
    <t xml:space="preserve">10/09/2023</t>
  </si>
  <si>
    <t xml:space="preserve">16/09/2023</t>
  </si>
  <si>
    <t xml:space="preserve">17/09/2023</t>
  </si>
  <si>
    <t xml:space="preserve">23/09/2023</t>
  </si>
  <si>
    <t xml:space="preserve">24/09/2023</t>
  </si>
  <si>
    <t xml:space="preserve">30/09/2023</t>
  </si>
  <si>
    <t xml:space="preserve">01/10/2023</t>
  </si>
  <si>
    <t xml:space="preserve">07/10/2023</t>
  </si>
  <si>
    <t xml:space="preserve">08/10/2023</t>
  </si>
  <si>
    <t xml:space="preserve">12/10/2023</t>
  </si>
  <si>
    <t xml:space="preserve">14/10/2023</t>
  </si>
  <si>
    <t xml:space="preserve">15/10/2023</t>
  </si>
  <si>
    <t xml:space="preserve">21/10/2023</t>
  </si>
  <si>
    <t xml:space="preserve">22/10/2023</t>
  </si>
  <si>
    <t xml:space="preserve">28/10/2023</t>
  </si>
  <si>
    <t xml:space="preserve">29/10/2023</t>
  </si>
  <si>
    <t xml:space="preserve">02/11/2023</t>
  </si>
  <si>
    <t xml:space="preserve">04/11/2023</t>
  </si>
  <si>
    <t xml:space="preserve">05/11/2023</t>
  </si>
  <si>
    <t xml:space="preserve">11/11/2023</t>
  </si>
  <si>
    <t xml:space="preserve">12/11/2023</t>
  </si>
  <si>
    <t xml:space="preserve">15/11/2023</t>
  </si>
  <si>
    <t xml:space="preserve">18/11/2023</t>
  </si>
  <si>
    <t xml:space="preserve">19/11/2023</t>
  </si>
  <si>
    <t xml:space="preserve">25/11/2023</t>
  </si>
  <si>
    <t xml:space="preserve">26/11/2023</t>
  </si>
  <si>
    <t xml:space="preserve">02/12/2023</t>
  </si>
  <si>
    <t xml:space="preserve">03/12/2023</t>
  </si>
  <si>
    <t xml:space="preserve">09/12/2023</t>
  </si>
  <si>
    <t xml:space="preserve">10/12/2023</t>
  </si>
  <si>
    <t xml:space="preserve">16/12/2023</t>
  </si>
  <si>
    <t xml:space="preserve">17/12/2023</t>
  </si>
  <si>
    <t xml:space="preserve">23/12/2023</t>
  </si>
  <si>
    <t xml:space="preserve">24/12/2023</t>
  </si>
  <si>
    <t xml:space="preserve">25/12/2023</t>
  </si>
  <si>
    <t xml:space="preserve">30/12/2023</t>
  </si>
  <si>
    <t xml:space="preserve">31/12/2023</t>
  </si>
  <si>
    <t xml:space="preserve">01/01/2024</t>
  </si>
  <si>
    <t xml:space="preserve">06/01/2024</t>
  </si>
  <si>
    <t xml:space="preserve">07/01/2024</t>
  </si>
  <si>
    <t xml:space="preserve">13/01/2024</t>
  </si>
  <si>
    <t xml:space="preserve">14/01/2024</t>
  </si>
  <si>
    <t xml:space="preserve">20/01/2024</t>
  </si>
  <si>
    <t xml:space="preserve">21/01/2024</t>
  </si>
  <si>
    <t xml:space="preserve">27/01/2024</t>
  </si>
  <si>
    <t xml:space="preserve">28/01/2024</t>
  </si>
  <si>
    <t xml:space="preserve">03/02/2024</t>
  </si>
  <si>
    <t xml:space="preserve">04/02/2024</t>
  </si>
  <si>
    <t xml:space="preserve">10/02/2024</t>
  </si>
  <si>
    <t xml:space="preserve">11/02/2024</t>
  </si>
  <si>
    <t xml:space="preserve">12/02/2024</t>
  </si>
  <si>
    <t xml:space="preserve">13/02/2024</t>
  </si>
  <si>
    <t xml:space="preserve">17/02/2024</t>
  </si>
  <si>
    <t xml:space="preserve">18/02/2024</t>
  </si>
  <si>
    <t xml:space="preserve">24/02/2024</t>
  </si>
  <si>
    <t xml:space="preserve">25/02/2024</t>
  </si>
  <si>
    <t xml:space="preserve">02/03/2024</t>
  </si>
  <si>
    <t xml:space="preserve">03/03/2024</t>
  </si>
  <si>
    <t xml:space="preserve">09/03/2024</t>
  </si>
  <si>
    <t xml:space="preserve">10/03/2024</t>
  </si>
  <si>
    <t xml:space="preserve">16/03/2024</t>
  </si>
  <si>
    <t xml:space="preserve">17/03/2024</t>
  </si>
  <si>
    <t xml:space="preserve">23/03/2024</t>
  </si>
  <si>
    <t xml:space="preserve">24/03/2024</t>
  </si>
  <si>
    <t xml:space="preserve">29/03/2024</t>
  </si>
  <si>
    <t xml:space="preserve">30/03/2024</t>
  </si>
  <si>
    <t xml:space="preserve">31/03/2024</t>
  </si>
  <si>
    <t xml:space="preserve">06/04/2024</t>
  </si>
  <si>
    <t xml:space="preserve">07/04/2024</t>
  </si>
  <si>
    <t xml:space="preserve">13/04/2024</t>
  </si>
  <si>
    <t xml:space="preserve">14/04/2024</t>
  </si>
  <si>
    <t xml:space="preserve">20/04/2024</t>
  </si>
  <si>
    <t xml:space="preserve">21/04/2024</t>
  </si>
  <si>
    <t xml:space="preserve">27/04/2024</t>
  </si>
  <si>
    <t xml:space="preserve">28/04/2024</t>
  </si>
  <si>
    <t xml:space="preserve">01/05/2024</t>
  </si>
  <si>
    <t xml:space="preserve">04/05/2024</t>
  </si>
  <si>
    <t xml:space="preserve">05/05/2024</t>
  </si>
  <si>
    <t xml:space="preserve">11/05/2024</t>
  </si>
  <si>
    <t xml:space="preserve">12/05/2024</t>
  </si>
  <si>
    <t xml:space="preserve">18/05/2024</t>
  </si>
  <si>
    <t xml:space="preserve">19/05/2024</t>
  </si>
  <si>
    <t xml:space="preserve">25/05/2024</t>
  </si>
  <si>
    <t xml:space="preserve">26/05/2024</t>
  </si>
  <si>
    <t xml:space="preserve">30/05/2024</t>
  </si>
  <si>
    <t xml:space="preserve">01/06/2024</t>
  </si>
  <si>
    <t xml:space="preserve">02/06/2024</t>
  </si>
  <si>
    <t xml:space="preserve">08/06/2024</t>
  </si>
  <si>
    <t xml:space="preserve">09/06/2024</t>
  </si>
  <si>
    <t xml:space="preserve">15/06/2024</t>
  </si>
  <si>
    <t xml:space="preserve">16/06/2024</t>
  </si>
  <si>
    <t xml:space="preserve">22/06/2024</t>
  </si>
  <si>
    <t xml:space="preserve">23/06/2024</t>
  </si>
  <si>
    <t xml:space="preserve">29/06/2024</t>
  </si>
  <si>
    <t xml:space="preserve">30/06/2024</t>
  </si>
  <si>
    <t xml:space="preserve">06/07/2024</t>
  </si>
  <si>
    <t xml:space="preserve">07/07/2024</t>
  </si>
  <si>
    <t xml:space="preserve">13/07/2024</t>
  </si>
  <si>
    <t xml:space="preserve">14/07/2024</t>
  </si>
  <si>
    <t xml:space="preserve">20/07/2024</t>
  </si>
  <si>
    <t xml:space="preserve">21/07/2024</t>
  </si>
  <si>
    <t xml:space="preserve">27/07/2024</t>
  </si>
  <si>
    <t xml:space="preserve">28/07/2024</t>
  </si>
  <si>
    <t xml:space="preserve">03/08/2024</t>
  </si>
  <si>
    <t xml:space="preserve">04/08/2024</t>
  </si>
  <si>
    <t xml:space="preserve">10/08/2024</t>
  </si>
  <si>
    <t xml:space="preserve">11/08/2024</t>
  </si>
  <si>
    <t xml:space="preserve">17/08/2024</t>
  </si>
  <si>
    <t xml:space="preserve">18/08/2024</t>
  </si>
  <si>
    <t xml:space="preserve">24/08/2024</t>
  </si>
  <si>
    <t xml:space="preserve">25/08/2024</t>
  </si>
  <si>
    <t xml:space="preserve">31/08/2024</t>
  </si>
  <si>
    <t xml:space="preserve">01/09/2024</t>
  </si>
  <si>
    <t xml:space="preserve">07/09/2024</t>
  </si>
  <si>
    <t xml:space="preserve">08/09/2024</t>
  </si>
  <si>
    <t xml:space="preserve">14/09/2024</t>
  </si>
  <si>
    <t xml:space="preserve">15/09/2024</t>
  </si>
  <si>
    <t xml:space="preserve">21/09/2024</t>
  </si>
  <si>
    <t xml:space="preserve">22/09/2024</t>
  </si>
  <si>
    <t xml:space="preserve">28/09/2024</t>
  </si>
  <si>
    <t xml:space="preserve">29/09/2024</t>
  </si>
  <si>
    <t xml:space="preserve">05/10/2024</t>
  </si>
  <si>
    <t xml:space="preserve">06/10/2024</t>
  </si>
  <si>
    <t xml:space="preserve">12/10/2024</t>
  </si>
  <si>
    <t xml:space="preserve">13/10/2024</t>
  </si>
  <si>
    <t xml:space="preserve">19/10/2024</t>
  </si>
  <si>
    <t xml:space="preserve">20/10/2024</t>
  </si>
  <si>
    <t xml:space="preserve">26/10/2024</t>
  </si>
  <si>
    <t xml:space="preserve">27/10/2024</t>
  </si>
  <si>
    <t xml:space="preserve">02/11/2024</t>
  </si>
  <si>
    <t xml:space="preserve">03/11/2024</t>
  </si>
  <si>
    <t xml:space="preserve">09/11/2024</t>
  </si>
  <si>
    <t xml:space="preserve">10/11/2024</t>
  </si>
  <si>
    <t xml:space="preserve">15/11/2024</t>
  </si>
  <si>
    <t xml:space="preserve">16/11/2024</t>
  </si>
  <si>
    <t xml:space="preserve">17/11/2024</t>
  </si>
  <si>
    <t xml:space="preserve">20/11/2024</t>
  </si>
  <si>
    <t xml:space="preserve">23/11/2024</t>
  </si>
  <si>
    <t xml:space="preserve">24/11/2024</t>
  </si>
  <si>
    <t xml:space="preserve">30/11/2024</t>
  </si>
  <si>
    <t xml:space="preserve">01/12/2024</t>
  </si>
  <si>
    <t xml:space="preserve">07/12/2024</t>
  </si>
  <si>
    <t xml:space="preserve">08/12/2024</t>
  </si>
  <si>
    <t xml:space="preserve">14/12/2024</t>
  </si>
  <si>
    <t xml:space="preserve">15/12/2024</t>
  </si>
  <si>
    <t xml:space="preserve">21/12/2024</t>
  </si>
  <si>
    <t xml:space="preserve">22/12/2024</t>
  </si>
  <si>
    <t xml:space="preserve">25/12/2024</t>
  </si>
  <si>
    <t xml:space="preserve">28/12/2024</t>
  </si>
  <si>
    <t xml:space="preserve">29/12/2024</t>
  </si>
  <si>
    <t xml:space="preserve">01/01/2025</t>
  </si>
  <si>
    <t xml:space="preserve">04/01/2025</t>
  </si>
  <si>
    <t xml:space="preserve">05/01/2025</t>
  </si>
  <si>
    <t xml:space="preserve">11/01/2025</t>
  </si>
  <si>
    <t xml:space="preserve">12/01/2025</t>
  </si>
  <si>
    <t xml:space="preserve">18/01/2025</t>
  </si>
  <si>
    <t xml:space="preserve">19/01/2025</t>
  </si>
  <si>
    <t xml:space="preserve">25/01/2025</t>
  </si>
  <si>
    <t xml:space="preserve">26/01/2025</t>
  </si>
  <si>
    <t xml:space="preserve">01/02/2025</t>
  </si>
  <si>
    <t xml:space="preserve">02/02/2025</t>
  </si>
  <si>
    <t xml:space="preserve">08/02/2025</t>
  </si>
  <si>
    <t xml:space="preserve">09/02/2025</t>
  </si>
  <si>
    <t xml:space="preserve">15/02/2025</t>
  </si>
  <si>
    <t xml:space="preserve">16/02/2025</t>
  </si>
  <si>
    <t xml:space="preserve">22/02/2025</t>
  </si>
  <si>
    <t xml:space="preserve">23/02/2025</t>
  </si>
  <si>
    <t xml:space="preserve">01/03/2025</t>
  </si>
  <si>
    <t xml:space="preserve">02/03/2025</t>
  </si>
  <si>
    <t xml:space="preserve">03/03/2025</t>
  </si>
  <si>
    <t xml:space="preserve">04/03/2025</t>
  </si>
  <si>
    <t xml:space="preserve">08/03/2025</t>
  </si>
  <si>
    <t xml:space="preserve">09/03/2025</t>
  </si>
  <si>
    <t xml:space="preserve">15/03/2025</t>
  </si>
  <si>
    <t xml:space="preserve">16/03/2025</t>
  </si>
  <si>
    <t xml:space="preserve">22/03/2025</t>
  </si>
  <si>
    <t xml:space="preserve">23/03/2025</t>
  </si>
  <si>
    <t xml:space="preserve">29/03/2025</t>
  </si>
  <si>
    <t xml:space="preserve">30/03/2025</t>
  </si>
  <si>
    <t xml:space="preserve">05/04/2025</t>
  </si>
  <si>
    <t xml:space="preserve">06/04/2025</t>
  </si>
  <si>
    <t xml:space="preserve">12/04/2025</t>
  </si>
  <si>
    <t xml:space="preserve">13/04/2025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</si>
  <si>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</si>
  <si>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</si>
  <si>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</si>
  <si>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</si>
  <si>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26/04/2025</t>
  </si>
  <si>
    <t xml:space="preserve">27/04/2025</t>
  </si>
  <si>
    <t xml:space="preserve">01/05/2025</t>
  </si>
  <si>
    <t xml:space="preserve">03/05/2025</t>
  </si>
  <si>
    <t xml:space="preserve">04/05/2025</t>
  </si>
  <si>
    <t xml:space="preserve">10/05/2025</t>
  </si>
  <si>
    <t xml:space="preserve">11/05/2025</t>
  </si>
  <si>
    <t xml:space="preserve">17/05/2025</t>
  </si>
  <si>
    <t xml:space="preserve">18/05/2025</t>
  </si>
  <si>
    <t xml:space="preserve">24/05/2025</t>
  </si>
  <si>
    <t xml:space="preserve">25/05/2025</t>
  </si>
  <si>
    <t xml:space="preserve">31/05/2025</t>
  </si>
  <si>
    <t xml:space="preserve">01/06/2025</t>
  </si>
  <si>
    <t xml:space="preserve">07/06/2025</t>
  </si>
  <si>
    <t xml:space="preserve">08/06/2025</t>
  </si>
  <si>
    <t xml:space="preserve">14/06/2025</t>
  </si>
  <si>
    <t xml:space="preserve">15/06/2025</t>
  </si>
  <si>
    <t xml:space="preserve">19/06/2025</t>
  </si>
  <si>
    <t xml:space="preserve">21/06/2025</t>
  </si>
  <si>
    <t xml:space="preserve">22/06/2025</t>
  </si>
  <si>
    <t xml:space="preserve">28/06/2025</t>
  </si>
  <si>
    <t xml:space="preserve">29/06/2025</t>
  </si>
  <si>
    <t xml:space="preserve">05/07/2025</t>
  </si>
  <si>
    <t xml:space="preserve">06/07/2025</t>
  </si>
  <si>
    <t xml:space="preserve">12/07/2025</t>
  </si>
  <si>
    <t xml:space="preserve">13/07/2025</t>
  </si>
  <si>
    <t xml:space="preserve">19/07/2025</t>
  </si>
  <si>
    <t xml:space="preserve">20/07/2025</t>
  </si>
  <si>
    <t xml:space="preserve">26/07/2025</t>
  </si>
  <si>
    <t xml:space="preserve">27/07/2025</t>
  </si>
  <si>
    <t xml:space="preserve">02/08/2025</t>
  </si>
  <si>
    <t xml:space="preserve">03/08/2025</t>
  </si>
  <si>
    <t xml:space="preserve">09/08/2025</t>
  </si>
  <si>
    <t xml:space="preserve">10/08/2025</t>
  </si>
  <si>
    <t xml:space="preserve">16/08/2025</t>
  </si>
  <si>
    <t xml:space="preserve">17/08/2025</t>
  </si>
  <si>
    <t xml:space="preserve">23/08/2025</t>
  </si>
  <si>
    <t xml:space="preserve">24/08/2025</t>
  </si>
  <si>
    <t xml:space="preserve">30/08/2025</t>
  </si>
  <si>
    <t xml:space="preserve">31/08/2025</t>
  </si>
  <si>
    <t xml:space="preserve">06/09/2025</t>
  </si>
  <si>
    <t xml:space="preserve">07/09/2025</t>
  </si>
  <si>
    <t xml:space="preserve">13/09/2025</t>
  </si>
  <si>
    <t xml:space="preserve">14/09/2025</t>
  </si>
  <si>
    <t xml:space="preserve">20/09/2025</t>
  </si>
  <si>
    <t xml:space="preserve">21/09/2025</t>
  </si>
  <si>
    <t xml:space="preserve">27/09/2025</t>
  </si>
  <si>
    <t xml:space="preserve">28/09/2025</t>
  </si>
  <si>
    <t xml:space="preserve">04/10/2025</t>
  </si>
  <si>
    <t xml:space="preserve">05/10/2025</t>
  </si>
  <si>
    <t xml:space="preserve">11/10/2025</t>
  </si>
  <si>
    <t xml:space="preserve">12/10/2025</t>
  </si>
  <si>
    <t xml:space="preserve">18/10/2025</t>
  </si>
  <si>
    <t xml:space="preserve">19/10/2025</t>
  </si>
  <si>
    <t xml:space="preserve">25/10/2025</t>
  </si>
  <si>
    <t xml:space="preserve">26/10/2025</t>
  </si>
  <si>
    <t xml:space="preserve">01/11/2025</t>
  </si>
  <si>
    <t xml:space="preserve">02/11/2025</t>
  </si>
  <si>
    <t xml:space="preserve">08/11/2025</t>
  </si>
  <si>
    <t xml:space="preserve">09/11/2025</t>
  </si>
  <si>
    <t xml:space="preserve">15/11/2025</t>
  </si>
  <si>
    <t xml:space="preserve">16/11/2025</t>
  </si>
  <si>
    <t xml:space="preserve">20/11/2025</t>
  </si>
  <si>
    <t xml:space="preserve">22/11/2025</t>
  </si>
  <si>
    <t xml:space="preserve">23/11/2025</t>
  </si>
  <si>
    <t xml:space="preserve">29/11/2025</t>
  </si>
  <si>
    <t xml:space="preserve">30/11/2025</t>
  </si>
  <si>
    <t xml:space="preserve">06/12/2025</t>
  </si>
  <si>
    <t xml:space="preserve">07/12/2025</t>
  </si>
  <si>
    <t xml:space="preserve">13/12/2025</t>
  </si>
  <si>
    <t xml:space="preserve">14/12/2025</t>
  </si>
  <si>
    <t xml:space="preserve">20/12/2025</t>
  </si>
  <si>
    <t xml:space="preserve">21/12/2025</t>
  </si>
  <si>
    <t xml:space="preserve">25/12/2025</t>
  </si>
  <si>
    <t xml:space="preserve">27/12/2025</t>
  </si>
  <si>
    <t xml:space="preserve">28/12/2025</t>
  </si>
  <si>
    <t xml:space="preserve">01/01/2026</t>
  </si>
  <si>
    <t xml:space="preserve">03/01/2026</t>
  </si>
  <si>
    <t xml:space="preserve">04/01/2026</t>
  </si>
  <si>
    <t xml:space="preserve">10/01/2026</t>
  </si>
  <si>
    <t xml:space="preserve">11/01/2026</t>
  </si>
  <si>
    <t xml:space="preserve">17/01/2026</t>
  </si>
  <si>
    <t xml:space="preserve">18/01/2026</t>
  </si>
  <si>
    <t xml:space="preserve">24/01/2026</t>
  </si>
  <si>
    <t xml:space="preserve">25/01/2026</t>
  </si>
  <si>
    <t xml:space="preserve">31/01/2026</t>
  </si>
  <si>
    <t xml:space="preserve">01/02/2026</t>
  </si>
  <si>
    <t xml:space="preserve">07/02/2026</t>
  </si>
  <si>
    <t xml:space="preserve">08/02/2026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</si>
  <si>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</si>
  <si>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</si>
  <si>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</si>
  <si>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</si>
  <si>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21/02/2026</t>
  </si>
  <si>
    <t xml:space="preserve">22/02/2026</t>
  </si>
  <si>
    <t xml:space="preserve">28/02/2026</t>
  </si>
  <si>
    <t xml:space="preserve">01/03/2026</t>
  </si>
  <si>
    <t xml:space="preserve">07/03/2026</t>
  </si>
  <si>
    <t xml:space="preserve">08/03/2026</t>
  </si>
  <si>
    <t xml:space="preserve">14/03/2026</t>
  </si>
  <si>
    <t xml:space="preserve">15/03/2026</t>
  </si>
  <si>
    <t xml:space="preserve">21/03/2026</t>
  </si>
  <si>
    <t xml:space="preserve">22/03/2026</t>
  </si>
  <si>
    <t xml:space="preserve">28/03/2026</t>
  </si>
  <si>
    <t xml:space="preserve">29/03/2026</t>
  </si>
  <si>
    <t xml:space="preserve">03/04/2026</t>
  </si>
  <si>
    <t xml:space="preserve">04/04/2026</t>
  </si>
  <si>
    <t xml:space="preserve">05/04/2026</t>
  </si>
  <si>
    <t xml:space="preserve">11/04/2026</t>
  </si>
  <si>
    <t xml:space="preserve">12/04/2026</t>
  </si>
  <si>
    <t xml:space="preserve">18/04/2026</t>
  </si>
  <si>
    <t xml:space="preserve">19/04/2026</t>
  </si>
  <si>
    <t xml:space="preserve">21/04/2026</t>
  </si>
  <si>
    <t xml:space="preserve">25/04/2026</t>
  </si>
  <si>
    <t xml:space="preserve">26/04/2026</t>
  </si>
  <si>
    <t xml:space="preserve">01/05/2026</t>
  </si>
  <si>
    <t xml:space="preserve">02/05/2026</t>
  </si>
  <si>
    <t xml:space="preserve">03/05/2026</t>
  </si>
  <si>
    <t xml:space="preserve">09/05/2026</t>
  </si>
  <si>
    <t xml:space="preserve">10/05/2026</t>
  </si>
  <si>
    <t xml:space="preserve">16/05/2026</t>
  </si>
  <si>
    <t xml:space="preserve">17/05/2026</t>
  </si>
  <si>
    <t xml:space="preserve">23/05/2026</t>
  </si>
  <si>
    <t xml:space="preserve">24/05/2026</t>
  </si>
  <si>
    <t xml:space="preserve">30/05/2026</t>
  </si>
  <si>
    <t xml:space="preserve">31/05/2026</t>
  </si>
  <si>
    <t xml:space="preserve">04/06/2026</t>
  </si>
  <si>
    <t xml:space="preserve">06/06/2026</t>
  </si>
  <si>
    <t xml:space="preserve">07/06/2026</t>
  </si>
  <si>
    <t xml:space="preserve">13/06/2026</t>
  </si>
  <si>
    <t xml:space="preserve">14/06/2026</t>
  </si>
  <si>
    <t xml:space="preserve">20/06/2026</t>
  </si>
  <si>
    <t xml:space="preserve">21/06/2026</t>
  </si>
  <si>
    <t xml:space="preserve">27/06/2026</t>
  </si>
  <si>
    <t xml:space="preserve">28/06/2026</t>
  </si>
  <si>
    <t xml:space="preserve">04/07/2026</t>
  </si>
  <si>
    <t xml:space="preserve">05/07/2026</t>
  </si>
  <si>
    <t xml:space="preserve">11/07/2026</t>
  </si>
  <si>
    <t xml:space="preserve">12/07/2026</t>
  </si>
  <si>
    <t xml:space="preserve">18/07/2026</t>
  </si>
  <si>
    <t xml:space="preserve">19/07/2026</t>
  </si>
  <si>
    <t xml:space="preserve">25/07/2026</t>
  </si>
  <si>
    <t xml:space="preserve">26/07/2026</t>
  </si>
  <si>
    <t xml:space="preserve">01/08/2026</t>
  </si>
  <si>
    <t xml:space="preserve">02/08/2026</t>
  </si>
  <si>
    <t xml:space="preserve">08/08/2026</t>
  </si>
  <si>
    <t xml:space="preserve">09/08/2026</t>
  </si>
  <si>
    <t xml:space="preserve">15/08/2026</t>
  </si>
  <si>
    <t xml:space="preserve">16/08/2026</t>
  </si>
  <si>
    <t xml:space="preserve">22/08/2026</t>
  </si>
  <si>
    <t xml:space="preserve">23/08/2026</t>
  </si>
  <si>
    <t xml:space="preserve">29/08/2026</t>
  </si>
  <si>
    <t xml:space="preserve">30/08/2026</t>
  </si>
  <si>
    <t xml:space="preserve">IPCA - Serie SGS 433 (variacao % mensal)</t>
  </si>
  <si>
    <t xml:space="preserve">Serie ja e mensal: nao precisa de coluna auxiliar. O retorno do IPCA+ soma o spread de 6% a.a.</t>
  </si>
  <si>
    <t xml:space="preserve">IPCA medio mensal (%)</t>
  </si>
  <si>
    <t xml:space="preserve">Spread mensal equiv. a 6% a.a. (%)</t>
  </si>
  <si>
    <t xml:space="preserve">Risco - desvio-padrao do IPCA (%)</t>
  </si>
  <si>
    <t xml:space="preserve">Retorno IPCA+ = IPCA medio + spread (%)</t>
  </si>
  <si>
    <t xml:space="preserve">Valor (% a.m.)</t>
  </si>
  <si>
    <t xml:space="preserve">Dolar comercial - Serie SGS 1 (R$ por US$)</t>
  </si>
  <si>
    <t xml:space="preserve">Coluna auxiliar: variacao % diaria. Conversao para o mes: media x 21 e desvio-padrao x RAIZ(21).</t>
  </si>
  <si>
    <t xml:space="preserve">Variacao media DIARIA (%)</t>
  </si>
  <si>
    <t xml:space="preserve">Retorno mensal = media x 21 (%)</t>
  </si>
  <si>
    <t xml:space="preserve">Desvio-padrao DIARIO (%)</t>
  </si>
  <si>
    <t xml:space="preserve">Risco mensal = dp x RAIZ(21) (%)</t>
  </si>
  <si>
    <t xml:space="preserve">Valor (R$)</t>
  </si>
  <si>
    <t xml:space="preserve">Variacao diaria (%)</t>
  </si>
  <si>
    <t xml:space="preserve">-</t>
  </si>
  <si>
    <t xml:space="preserve">Parametros do modelo - os 8 numeros que alimentam a Programacao Linear</t>
  </si>
  <si>
    <t xml:space="preserve">Tudo em % ao mes. Nao converter para decimal: o orcamento de risco (0,35) esta na mesma escala.</t>
  </si>
  <si>
    <t xml:space="preserve">Variavel</t>
  </si>
  <si>
    <t xml:space="preserve">Classe de ativo</t>
  </si>
  <si>
    <t xml:space="preserve">Origem</t>
  </si>
  <si>
    <t xml:space="preserve">x1</t>
  </si>
  <si>
    <t xml:space="preserve">Fundos DI/CDI</t>
  </si>
  <si>
    <t xml:space="preserve">SGS 12 - taxa diaria elevada a 21</t>
  </si>
  <si>
    <t xml:space="preserve">x2</t>
  </si>
  <si>
    <t xml:space="preserve">Titulos prefixados</t>
  </si>
  <si>
    <t xml:space="preserve">SGS 432 - meta Selic elevada a 1/12</t>
  </si>
  <si>
    <t xml:space="preserve">x3</t>
  </si>
  <si>
    <t xml:space="preserve">Tesouro IPCA+</t>
  </si>
  <si>
    <t xml:space="preserve">SGS 433 + spread de 6% a.a.</t>
  </si>
  <si>
    <t xml:space="preserve">x4</t>
  </si>
  <si>
    <t xml:space="preserve">Fundos cambiais</t>
  </si>
  <si>
    <t xml:space="preserve">SGS 1 - variacao diaria x 21 e x RAIZ(21)</t>
  </si>
  <si>
    <t xml:space="preserve">Observacoes sobre os dados</t>
  </si>
  <si>
    <t xml:space="preserve">- As quatro abas foram conferidas: nenhuma data duplicada, nenhum valor ausente, nenhuma linha em branco.</t>
  </si>
  <si>
    <t xml:space="preserve">- CDI e Dolar tem 921 linhas (dias uteis); Selic tem 1.340 (dias corridos, a meta vale todo dia); IPCA tem 44 (mensal).</t>
  </si>
  <si>
    <t xml:space="preserve">- A diferenca de tamanho entre as series NAO e erro: decorre da frequencia de publicacao de cada indicador.</t>
  </si>
  <si>
    <t xml:space="preserve">- DESVPAD.A (STDEV.S) e o desvio-padrao AMOSTRAL, conforme a formula indicada no enunciado.</t>
  </si>
  <si>
    <t xml:space="preserve">- O periodo coberto vai de 01/01/2023 a 01/09/2026.</t>
  </si>
  <si>
    <t xml:space="preserve">Modelo de Programacao Linear - Apice Capital</t>
  </si>
  <si>
    <t xml:space="preserve">Celulas amarelas = variaveis de decisao (fracao do capital). Rode o Solver conforme o bloco 4.</t>
  </si>
  <si>
    <t xml:space="preserve">Capital total (R$)</t>
  </si>
  <si>
    <t xml:space="preserve">1. VARIAVEIS DE DECISAO</t>
  </si>
  <si>
    <t xml:space="preserve">x1 - DI/CDI</t>
  </si>
  <si>
    <t xml:space="preserve">x2 - Prefixado</t>
  </si>
  <si>
    <t xml:space="preserve">x3 - IPCA+</t>
  </si>
  <si>
    <t xml:space="preserve">x4 - Cambial</t>
  </si>
  <si>
    <t xml:space="preserve">Soma</t>
  </si>
  <si>
    <t xml:space="preserve">Fracao do capital</t>
  </si>
  <si>
    <t xml:space="preserve">Valor alocado (R$)</t>
  </si>
  <si>
    <t xml:space="preserve">2. FUNCAO OBJETIVO</t>
  </si>
  <si>
    <t xml:space="preserve">Retorno mensal (%)</t>
  </si>
  <si>
    <t xml:space="preserve">Z - retorno da carteira (% ao mes)</t>
  </si>
  <si>
    <t xml:space="preserve">Retorno mensal em reais (R$)</t>
  </si>
  <si>
    <t xml:space="preserve">3. RESTRICOES</t>
  </si>
  <si>
    <t xml:space="preserve">Restricao</t>
  </si>
  <si>
    <t xml:space="preserve">Uso</t>
  </si>
  <si>
    <t xml:space="preserve">Sinal</t>
  </si>
  <si>
    <t xml:space="preserve">Limite</t>
  </si>
  <si>
    <t xml:space="preserve">Folga</t>
  </si>
  <si>
    <t xml:space="preserve">Alocacao total do capital</t>
  </si>
  <si>
    <t xml:space="preserve">=</t>
  </si>
  <si>
    <t xml:space="preserve">Liquidez minima em DI/CDI</t>
  </si>
  <si>
    <t xml:space="preserve">&gt;=</t>
  </si>
  <si>
    <t xml:space="preserve">Concentracao maxima Prefixado</t>
  </si>
  <si>
    <t xml:space="preserve">&lt;=</t>
  </si>
  <si>
    <t xml:space="preserve">Protecao minima IPCA+</t>
  </si>
  <si>
    <t xml:space="preserve">Hedge cambial minimo</t>
  </si>
  <si>
    <t xml:space="preserve">Hedge cambial maximo</t>
  </si>
  <si>
    <t xml:space="preserve">Orcamento de risco ponderado</t>
  </si>
  <si>
    <t xml:space="preserve">Nao negatividade: x1, x2, x3, x4 &gt;= 0 (caixa do Solver, nao e formula)</t>
  </si>
  <si>
    <t xml:space="preserve">4. CONFIGURACAO DO SOLVER</t>
  </si>
  <si>
    <t xml:space="preserve">Definir objetivo</t>
  </si>
  <si>
    <t xml:space="preserve">C15</t>
  </si>
  <si>
    <t xml:space="preserve">Para</t>
  </si>
  <si>
    <t xml:space="preserve">Max</t>
  </si>
  <si>
    <t xml:space="preserve">Alterando celulas variaveis</t>
  </si>
  <si>
    <t xml:space="preserve">B8:E8</t>
  </si>
  <si>
    <t xml:space="preserve">Restricao 1</t>
  </si>
  <si>
    <t xml:space="preserve">F20 = H20          (alocacao total = 1)</t>
  </si>
  <si>
    <t xml:space="preserve">Restricao 2</t>
  </si>
  <si>
    <t xml:space="preserve">F21 &gt;= H21        (liquidez minima)</t>
  </si>
  <si>
    <t xml:space="preserve">Restricao 3</t>
  </si>
  <si>
    <t xml:space="preserve">F22 &lt;= H22        (concentracao maxima)</t>
  </si>
  <si>
    <t xml:space="preserve">Restricao 4</t>
  </si>
  <si>
    <t xml:space="preserve">F23 &gt;= H23        (protecao minima)</t>
  </si>
  <si>
    <t xml:space="preserve">Restricao 5</t>
  </si>
  <si>
    <t xml:space="preserve">F24 &gt;= H24        (hedge minimo)</t>
  </si>
  <si>
    <t xml:space="preserve">Restricao 6</t>
  </si>
  <si>
    <t xml:space="preserve">F25 &lt;= H25        (hedge maximo)</t>
  </si>
  <si>
    <t xml:space="preserve">Restricao 7</t>
  </si>
  <si>
    <t xml:space="preserve">F26 &lt;= H26        (orcamento de risco)</t>
  </si>
  <si>
    <t xml:space="preserve">Marcar</t>
  </si>
  <si>
    <t xml:space="preserve">Tornar variaveis irrestritas nao negativas</t>
  </si>
  <si>
    <t xml:space="preserve">Metodo de solucao</t>
  </si>
  <si>
    <t xml:space="preserve">LP Simplex</t>
  </si>
  <si>
    <t xml:space="preserve">Relatorios</t>
  </si>
  <si>
    <t xml:space="preserve">marcar Resposta e Sensibilidade antes do OK</t>
  </si>
  <si>
    <t xml:space="preserve">Confira apos rodar: x1=0,45  x2=0,40  x3=0,10  x4=0,05  |  Z=0,963008% a.m.  =  R$ 96.300,78/mes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</si>
</sst>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0"/>
    <numFmt numFmtId="167" formatCode="0.0000"/>
    <numFmt numFmtId="168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8A6D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6F2EA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6F2E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A"/>
      <rgbColor rgb="FF800080"/>
      <rgbColor rgb="FF008080"/>
      <rgbColor rgb="FFBFBFBF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AVERAGE(C8:C928)</f>
        <v>1.02988862228917</v>
      </c>
    </row>
    <row r="5" customFormat="false" ht="15" hidden="false" customHeight="false" outlineLevel="0" collapsed="false">
      <c r="A5" s="3" t="s">
        <v>3</v>
      </c>
      <c r="C5" s="4" t="n">
        <f aca="false">_xlfn.STDEV.S(C8:C928)</f>
        <v>0.120000072047797</v>
      </c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15" hidden="false" customHeight="false" outlineLevel="0" collapsed="false">
      <c r="A8" s="6" t="s">
        <v>7</v>
      </c>
      <c r="B8" s="7" t="n">
        <v>0.050788</v>
      </c>
      <c r="C8" s="7" t="n">
        <f aca="false">((1+B8/100)^21-1)*100</f>
        <v>1.07198224735487</v>
      </c>
    </row>
    <row r="9" customFormat="false" ht="15" hidden="false" customHeight="false" outlineLevel="0" collapsed="false">
      <c r="A9" s="6" t="s">
        <v>8</v>
      </c>
      <c r="B9" s="7" t="n">
        <v>0.050788</v>
      </c>
      <c r="C9" s="7" t="n">
        <f aca="false">((1+B9/100)^21-1)*100</f>
        <v>1.07198224735487</v>
      </c>
    </row>
    <row r="10" customFormat="false" ht="15" hidden="false" customHeight="false" outlineLevel="0" collapsed="false">
      <c r="A10" s="6" t="s">
        <v>9</v>
      </c>
      <c r="B10" s="7" t="n">
        <v>0.050788</v>
      </c>
      <c r="C10" s="7" t="n">
        <f aca="false">((1+B10/100)^21-1)*100</f>
        <v>1.07198224735487</v>
      </c>
    </row>
    <row r="11" customFormat="false" ht="15" hidden="false" customHeight="false" outlineLevel="0" collapsed="false">
      <c r="A11" s="6" t="s">
        <v>10</v>
      </c>
      <c r="B11" s="7" t="n">
        <v>0.050788</v>
      </c>
      <c r="C11" s="7" t="n">
        <f aca="false">((1+B11/100)^21-1)*100</f>
        <v>1.07198224735487</v>
      </c>
    </row>
    <row r="12" customFormat="false" ht="15" hidden="false" customHeight="false" outlineLevel="0" collapsed="false">
      <c r="A12" s="6" t="s">
        <v>11</v>
      </c>
      <c r="B12" s="7" t="n">
        <v>0.050788</v>
      </c>
      <c r="C12" s="7" t="n">
        <f aca="false">((1+B12/100)^21-1)*100</f>
        <v>1.07198224735487</v>
      </c>
    </row>
    <row r="13" customFormat="false" ht="15" hidden="false" customHeight="false" outlineLevel="0" collapsed="false">
      <c r="A13" s="6" t="s">
        <v>12</v>
      </c>
      <c r="B13" s="7" t="n">
        <v>0.050788</v>
      </c>
      <c r="C13" s="7" t="n">
        <f aca="false">((1+B13/100)^21-1)*100</f>
        <v>1.07198224735487</v>
      </c>
    </row>
    <row r="14" customFormat="false" ht="15" hidden="false" customHeight="false" outlineLevel="0" collapsed="false">
      <c r="A14" s="6" t="s">
        <v>13</v>
      </c>
      <c r="B14" s="7" t="n">
        <v>0.050788</v>
      </c>
      <c r="C14" s="7" t="n">
        <f aca="false">((1+B14/100)^21-1)*100</f>
        <v>1.07198224735487</v>
      </c>
    </row>
    <row r="15" customFormat="false" ht="15" hidden="false" customHeight="false" outlineLevel="0" collapsed="false">
      <c r="A15" s="6" t="s">
        <v>14</v>
      </c>
      <c r="B15" s="7" t="n">
        <v>0.050788</v>
      </c>
      <c r="C15" s="7" t="n">
        <f aca="false">((1+B15/100)^21-1)*100</f>
        <v>1.07198224735487</v>
      </c>
    </row>
    <row r="16" customFormat="false" ht="15" hidden="false" customHeight="false" outlineLevel="0" collapsed="false">
      <c r="A16" s="6" t="s">
        <v>15</v>
      </c>
      <c r="B16" s="7" t="n">
        <v>0.050788</v>
      </c>
      <c r="C16" s="7" t="n">
        <f aca="false">((1+B16/100)^21-1)*100</f>
        <v>1.07198224735487</v>
      </c>
    </row>
    <row r="17" customFormat="false" ht="15" hidden="false" customHeight="false" outlineLevel="0" collapsed="false">
      <c r="A17" s="6" t="s">
        <v>16</v>
      </c>
      <c r="B17" s="7" t="n">
        <v>0.050788</v>
      </c>
      <c r="C17" s="7" t="n">
        <f aca="false">((1+B17/100)^21-1)*100</f>
        <v>1.07198224735487</v>
      </c>
    </row>
    <row r="18" customFormat="false" ht="15" hidden="false" customHeight="false" outlineLevel="0" collapsed="false">
      <c r="A18" s="6" t="s">
        <v>17</v>
      </c>
      <c r="B18" s="7" t="n">
        <v>0.050788</v>
      </c>
      <c r="C18" s="7" t="n">
        <f aca="false">((1+B18/100)^21-1)*100</f>
        <v>1.07198224735487</v>
      </c>
    </row>
    <row r="19" customFormat="false" ht="15" hidden="false" customHeight="false" outlineLevel="0" collapsed="false">
      <c r="A19" s="6" t="s">
        <v>18</v>
      </c>
      <c r="B19" s="7" t="n">
        <v>0.050788</v>
      </c>
      <c r="C19" s="7" t="n">
        <f aca="false">((1+B19/100)^21-1)*100</f>
        <v>1.07198224735487</v>
      </c>
    </row>
    <row r="20" customFormat="false" ht="15" hidden="false" customHeight="false" outlineLevel="0" collapsed="false">
      <c r="A20" s="6" t="s">
        <v>19</v>
      </c>
      <c r="B20" s="7" t="n">
        <v>0.050788</v>
      </c>
      <c r="C20" s="7" t="n">
        <f aca="false">((1+B20/100)^21-1)*100</f>
        <v>1.07198224735487</v>
      </c>
    </row>
    <row r="21" customFormat="false" ht="15" hidden="false" customHeight="false" outlineLevel="0" collapsed="false">
      <c r="A21" s="6" t="s">
        <v>20</v>
      </c>
      <c r="B21" s="7" t="n">
        <v>0.050788</v>
      </c>
      <c r="C21" s="7" t="n">
        <f aca="false">((1+B21/100)^21-1)*100</f>
        <v>1.07198224735487</v>
      </c>
    </row>
    <row r="22" customFormat="false" ht="15" hidden="false" customHeight="false" outlineLevel="0" collapsed="false">
      <c r="A22" s="6" t="s">
        <v>21</v>
      </c>
      <c r="B22" s="7" t="n">
        <v>0.050788</v>
      </c>
      <c r="C22" s="7" t="n">
        <f aca="false">((1+B22/100)^21-1)*100</f>
        <v>1.07198224735487</v>
      </c>
    </row>
    <row r="23" customFormat="false" ht="15" hidden="false" customHeight="false" outlineLevel="0" collapsed="false">
      <c r="A23" s="6" t="s">
        <v>22</v>
      </c>
      <c r="B23" s="7" t="n">
        <v>0.050788</v>
      </c>
      <c r="C23" s="7" t="n">
        <f aca="false">((1+B23/100)^21-1)*100</f>
        <v>1.07198224735487</v>
      </c>
    </row>
    <row r="24" customFormat="false" ht="15" hidden="false" customHeight="false" outlineLevel="0" collapsed="false">
      <c r="A24" s="6" t="s">
        <v>23</v>
      </c>
      <c r="B24" s="7" t="n">
        <v>0.050788</v>
      </c>
      <c r="C24" s="7" t="n">
        <f aca="false">((1+B24/100)^21-1)*100</f>
        <v>1.07198224735487</v>
      </c>
    </row>
    <row r="25" customFormat="false" ht="15" hidden="false" customHeight="false" outlineLevel="0" collapsed="false">
      <c r="A25" s="6" t="s">
        <v>24</v>
      </c>
      <c r="B25" s="7" t="n">
        <v>0.050788</v>
      </c>
      <c r="C25" s="7" t="n">
        <f aca="false">((1+B25/100)^21-1)*100</f>
        <v>1.07198224735487</v>
      </c>
    </row>
    <row r="26" customFormat="false" ht="15" hidden="false" customHeight="false" outlineLevel="0" collapsed="false">
      <c r="A26" s="6" t="s">
        <v>25</v>
      </c>
      <c r="B26" s="7" t="n">
        <v>0.050788</v>
      </c>
      <c r="C26" s="7" t="n">
        <f aca="false">((1+B26/100)^21-1)*100</f>
        <v>1.07198224735487</v>
      </c>
    </row>
    <row r="27" customFormat="false" ht="15" hidden="false" customHeight="false" outlineLevel="0" collapsed="false">
      <c r="A27" s="6" t="s">
        <v>26</v>
      </c>
      <c r="B27" s="7" t="n">
        <v>0.050788</v>
      </c>
      <c r="C27" s="7" t="n">
        <f aca="false">((1+B27/100)^21-1)*100</f>
        <v>1.07198224735487</v>
      </c>
    </row>
    <row r="28" customFormat="false" ht="15" hidden="false" customHeight="false" outlineLevel="0" collapsed="false">
      <c r="A28" s="6" t="s">
        <v>27</v>
      </c>
      <c r="B28" s="7" t="n">
        <v>0.050788</v>
      </c>
      <c r="C28" s="7" t="n">
        <f aca="false">((1+B28/100)^21-1)*100</f>
        <v>1.07198224735487</v>
      </c>
    </row>
    <row r="29" customFormat="false" ht="15" hidden="false" customHeight="false" outlineLevel="0" collapsed="false">
      <c r="A29" s="6" t="s">
        <v>28</v>
      </c>
      <c r="B29" s="7" t="n">
        <v>0.050788</v>
      </c>
      <c r="C29" s="7" t="n">
        <f aca="false">((1+B29/100)^21-1)*100</f>
        <v>1.07198224735487</v>
      </c>
    </row>
    <row r="30" customFormat="false" ht="15" hidden="false" customHeight="false" outlineLevel="0" collapsed="false">
      <c r="A30" s="6" t="s">
        <v>29</v>
      </c>
      <c r="B30" s="7" t="n">
        <v>0.050788</v>
      </c>
      <c r="C30" s="7" t="n">
        <f aca="false">((1+B30/100)^21-1)*100</f>
        <v>1.07198224735487</v>
      </c>
    </row>
    <row r="31" customFormat="false" ht="15" hidden="false" customHeight="false" outlineLevel="0" collapsed="false">
      <c r="A31" s="6" t="s">
        <v>30</v>
      </c>
      <c r="B31" s="7" t="n">
        <v>0.050788</v>
      </c>
      <c r="C31" s="7" t="n">
        <f aca="false">((1+B31/100)^21-1)*100</f>
        <v>1.07198224735487</v>
      </c>
    </row>
    <row r="32" customFormat="false" ht="15" hidden="false" customHeight="false" outlineLevel="0" collapsed="false">
      <c r="A32" s="6" t="s">
        <v>31</v>
      </c>
      <c r="B32" s="7" t="n">
        <v>0.050788</v>
      </c>
      <c r="C32" s="7" t="n">
        <f aca="false">((1+B32/100)^21-1)*100</f>
        <v>1.07198224735487</v>
      </c>
    </row>
    <row r="33" customFormat="false" ht="15" hidden="false" customHeight="false" outlineLevel="0" collapsed="false">
      <c r="A33" s="6" t="s">
        <v>32</v>
      </c>
      <c r="B33" s="7" t="n">
        <v>0.050788</v>
      </c>
      <c r="C33" s="7" t="n">
        <f aca="false">((1+B33/100)^21-1)*100</f>
        <v>1.07198224735487</v>
      </c>
    </row>
    <row r="34" customFormat="false" ht="15" hidden="false" customHeight="false" outlineLevel="0" collapsed="false">
      <c r="A34" s="6" t="s">
        <v>33</v>
      </c>
      <c r="B34" s="7" t="n">
        <v>0.050788</v>
      </c>
      <c r="C34" s="7" t="n">
        <f aca="false">((1+B34/100)^21-1)*100</f>
        <v>1.07198224735487</v>
      </c>
    </row>
    <row r="35" customFormat="false" ht="15" hidden="false" customHeight="false" outlineLevel="0" collapsed="false">
      <c r="A35" s="6" t="s">
        <v>34</v>
      </c>
      <c r="B35" s="7" t="n">
        <v>0.050788</v>
      </c>
      <c r="C35" s="7" t="n">
        <f aca="false">((1+B35/100)^21-1)*100</f>
        <v>1.07198224735487</v>
      </c>
    </row>
    <row r="36" customFormat="false" ht="15" hidden="false" customHeight="false" outlineLevel="0" collapsed="false">
      <c r="A36" s="6" t="s">
        <v>35</v>
      </c>
      <c r="B36" s="7" t="n">
        <v>0.050788</v>
      </c>
      <c r="C36" s="7" t="n">
        <f aca="false">((1+B36/100)^21-1)*100</f>
        <v>1.07198224735487</v>
      </c>
    </row>
    <row r="37" customFormat="false" ht="15" hidden="false" customHeight="false" outlineLevel="0" collapsed="false">
      <c r="A37" s="6" t="s">
        <v>36</v>
      </c>
      <c r="B37" s="7" t="n">
        <v>0.050788</v>
      </c>
      <c r="C37" s="7" t="n">
        <f aca="false">((1+B37/100)^21-1)*100</f>
        <v>1.07198224735487</v>
      </c>
    </row>
    <row r="38" customFormat="false" ht="15" hidden="false" customHeight="false" outlineLevel="0" collapsed="false">
      <c r="A38" s="6" t="s">
        <v>37</v>
      </c>
      <c r="B38" s="7" t="n">
        <v>0.050788</v>
      </c>
      <c r="C38" s="7" t="n">
        <f aca="false">((1+B38/100)^21-1)*100</f>
        <v>1.07198224735487</v>
      </c>
    </row>
    <row r="39" customFormat="false" ht="15" hidden="false" customHeight="false" outlineLevel="0" collapsed="false">
      <c r="A39" s="6" t="s">
        <v>38</v>
      </c>
      <c r="B39" s="7" t="n">
        <v>0.050788</v>
      </c>
      <c r="C39" s="7" t="n">
        <f aca="false">((1+B39/100)^21-1)*100</f>
        <v>1.07198224735487</v>
      </c>
    </row>
    <row r="40" customFormat="false" ht="15" hidden="false" customHeight="false" outlineLevel="0" collapsed="false">
      <c r="A40" s="6" t="s">
        <v>39</v>
      </c>
      <c r="B40" s="7" t="n">
        <v>0.050788</v>
      </c>
      <c r="C40" s="7" t="n">
        <f aca="false">((1+B40/100)^21-1)*100</f>
        <v>1.07198224735487</v>
      </c>
    </row>
    <row r="41" customFormat="false" ht="15" hidden="false" customHeight="false" outlineLevel="0" collapsed="false">
      <c r="A41" s="6" t="s">
        <v>40</v>
      </c>
      <c r="B41" s="7" t="n">
        <v>0.050788</v>
      </c>
      <c r="C41" s="7" t="n">
        <f aca="false">((1+B41/100)^21-1)*100</f>
        <v>1.07198224735487</v>
      </c>
    </row>
    <row r="42" customFormat="false" ht="15" hidden="false" customHeight="false" outlineLevel="0" collapsed="false">
      <c r="A42" s="6" t="s">
        <v>41</v>
      </c>
      <c r="B42" s="7" t="n">
        <v>0.050788</v>
      </c>
      <c r="C42" s="7" t="n">
        <f aca="false">((1+B42/100)^21-1)*100</f>
        <v>1.07198224735487</v>
      </c>
    </row>
    <row r="43" customFormat="false" ht="15" hidden="false" customHeight="false" outlineLevel="0" collapsed="false">
      <c r="A43" s="6" t="s">
        <v>42</v>
      </c>
      <c r="B43" s="7" t="n">
        <v>0.050788</v>
      </c>
      <c r="C43" s="7" t="n">
        <f aca="false">((1+B43/100)^21-1)*100</f>
        <v>1.07198224735487</v>
      </c>
    </row>
    <row r="44" customFormat="false" ht="15" hidden="false" customHeight="false" outlineLevel="0" collapsed="false">
      <c r="A44" s="6" t="s">
        <v>43</v>
      </c>
      <c r="B44" s="7" t="n">
        <v>0.050788</v>
      </c>
      <c r="C44" s="7" t="n">
        <f aca="false">((1+B44/100)^21-1)*100</f>
        <v>1.07198224735487</v>
      </c>
    </row>
    <row r="45" customFormat="false" ht="15" hidden="false" customHeight="false" outlineLevel="0" collapsed="false">
      <c r="A45" s="6" t="s">
        <v>44</v>
      </c>
      <c r="B45" s="7" t="n">
        <v>0.050788</v>
      </c>
      <c r="C45" s="7" t="n">
        <f aca="false">((1+B45/100)^21-1)*100</f>
        <v>1.07198224735487</v>
      </c>
    </row>
    <row r="46" customFormat="false" ht="15" hidden="false" customHeight="false" outlineLevel="0" collapsed="false">
      <c r="A46" s="6" t="s">
        <v>45</v>
      </c>
      <c r="B46" s="7" t="n">
        <v>0.050788</v>
      </c>
      <c r="C46" s="7" t="n">
        <f aca="false">((1+B46/100)^21-1)*100</f>
        <v>1.07198224735487</v>
      </c>
    </row>
    <row r="47" customFormat="false" ht="15" hidden="false" customHeight="false" outlineLevel="0" collapsed="false">
      <c r="A47" s="6" t="s">
        <v>46</v>
      </c>
      <c r="B47" s="7" t="n">
        <v>0.050788</v>
      </c>
      <c r="C47" s="7" t="n">
        <f aca="false">((1+B47/100)^21-1)*100</f>
        <v>1.07198224735487</v>
      </c>
    </row>
    <row r="48" customFormat="false" ht="15" hidden="false" customHeight="false" outlineLevel="0" collapsed="false">
      <c r="A48" s="6" t="s">
        <v>47</v>
      </c>
      <c r="B48" s="7" t="n">
        <v>0.050788</v>
      </c>
      <c r="C48" s="7" t="n">
        <f aca="false">((1+B48/100)^21-1)*100</f>
        <v>1.07198224735487</v>
      </c>
    </row>
    <row r="49" customFormat="false" ht="15" hidden="false" customHeight="false" outlineLevel="0" collapsed="false">
      <c r="A49" s="6" t="s">
        <v>48</v>
      </c>
      <c r="B49" s="7" t="n">
        <v>0.050788</v>
      </c>
      <c r="C49" s="7" t="n">
        <f aca="false">((1+B49/100)^21-1)*100</f>
        <v>1.07198224735487</v>
      </c>
    </row>
    <row r="50" customFormat="false" ht="15" hidden="false" customHeight="false" outlineLevel="0" collapsed="false">
      <c r="A50" s="6" t="s">
        <v>49</v>
      </c>
      <c r="B50" s="7" t="n">
        <v>0.050788</v>
      </c>
      <c r="C50" s="7" t="n">
        <f aca="false">((1+B50/100)^21-1)*100</f>
        <v>1.07198224735487</v>
      </c>
    </row>
    <row r="51" customFormat="false" ht="15" hidden="false" customHeight="false" outlineLevel="0" collapsed="false">
      <c r="A51" s="6" t="s">
        <v>50</v>
      </c>
      <c r="B51" s="7" t="n">
        <v>0.050788</v>
      </c>
      <c r="C51" s="7" t="n">
        <f aca="false">((1+B51/100)^21-1)*100</f>
        <v>1.07198224735487</v>
      </c>
    </row>
    <row r="52" customFormat="false" ht="15" hidden="false" customHeight="false" outlineLevel="0" collapsed="false">
      <c r="A52" s="6" t="s">
        <v>51</v>
      </c>
      <c r="B52" s="7" t="n">
        <v>0.050788</v>
      </c>
      <c r="C52" s="7" t="n">
        <f aca="false">((1+B52/100)^21-1)*100</f>
        <v>1.07198224735487</v>
      </c>
    </row>
    <row r="53" customFormat="false" ht="15" hidden="false" customHeight="false" outlineLevel="0" collapsed="false">
      <c r="A53" s="6" t="s">
        <v>52</v>
      </c>
      <c r="B53" s="7" t="n">
        <v>0.050788</v>
      </c>
      <c r="C53" s="7" t="n">
        <f aca="false">((1+B53/100)^21-1)*100</f>
        <v>1.07198224735487</v>
      </c>
    </row>
    <row r="54" customFormat="false" ht="15" hidden="false" customHeight="false" outlineLevel="0" collapsed="false">
      <c r="A54" s="6" t="s">
        <v>53</v>
      </c>
      <c r="B54" s="7" t="n">
        <v>0.050788</v>
      </c>
      <c r="C54" s="7" t="n">
        <f aca="false">((1+B54/100)^21-1)*100</f>
        <v>1.07198224735487</v>
      </c>
    </row>
    <row r="55" customFormat="false" ht="15" hidden="false" customHeight="false" outlineLevel="0" collapsed="false">
      <c r="A55" s="6" t="s">
        <v>54</v>
      </c>
      <c r="B55" s="7" t="n">
        <v>0.050788</v>
      </c>
      <c r="C55" s="7" t="n">
        <f aca="false">((1+B55/100)^21-1)*100</f>
        <v>1.07198224735487</v>
      </c>
    </row>
    <row r="56" customFormat="false" ht="15" hidden="false" customHeight="false" outlineLevel="0" collapsed="false">
      <c r="A56" s="6" t="s">
        <v>55</v>
      </c>
      <c r="B56" s="7" t="n">
        <v>0.050788</v>
      </c>
      <c r="C56" s="7" t="n">
        <f aca="false">((1+B56/100)^21-1)*100</f>
        <v>1.07198224735487</v>
      </c>
    </row>
    <row r="57" customFormat="false" ht="15" hidden="false" customHeight="false" outlineLevel="0" collapsed="false">
      <c r="A57" s="6" t="s">
        <v>56</v>
      </c>
      <c r="B57" s="7" t="n">
        <v>0.050788</v>
      </c>
      <c r="C57" s="7" t="n">
        <f aca="false">((1+B57/100)^21-1)*100</f>
        <v>1.07198224735487</v>
      </c>
    </row>
    <row r="58" customFormat="false" ht="15" hidden="false" customHeight="false" outlineLevel="0" collapsed="false">
      <c r="A58" s="6" t="s">
        <v>57</v>
      </c>
      <c r="B58" s="7" t="n">
        <v>0.050788</v>
      </c>
      <c r="C58" s="7" t="n">
        <f aca="false">((1+B58/100)^21-1)*100</f>
        <v>1.07198224735487</v>
      </c>
    </row>
    <row r="59" customFormat="false" ht="15" hidden="false" customHeight="false" outlineLevel="0" collapsed="false">
      <c r="A59" s="6" t="s">
        <v>58</v>
      </c>
      <c r="B59" s="7" t="n">
        <v>0.050788</v>
      </c>
      <c r="C59" s="7" t="n">
        <f aca="false">((1+B59/100)^21-1)*100</f>
        <v>1.07198224735487</v>
      </c>
    </row>
    <row r="60" customFormat="false" ht="15" hidden="false" customHeight="false" outlineLevel="0" collapsed="false">
      <c r="A60" s="6" t="s">
        <v>59</v>
      </c>
      <c r="B60" s="7" t="n">
        <v>0.050788</v>
      </c>
      <c r="C60" s="7" t="n">
        <f aca="false">((1+B60/100)^21-1)*100</f>
        <v>1.07198224735487</v>
      </c>
    </row>
    <row r="61" customFormat="false" ht="15" hidden="false" customHeight="false" outlineLevel="0" collapsed="false">
      <c r="A61" s="6" t="s">
        <v>60</v>
      </c>
      <c r="B61" s="7" t="n">
        <v>0.050788</v>
      </c>
      <c r="C61" s="7" t="n">
        <f aca="false">((1+B61/100)^21-1)*100</f>
        <v>1.07198224735487</v>
      </c>
    </row>
    <row r="62" customFormat="false" ht="15" hidden="false" customHeight="false" outlineLevel="0" collapsed="false">
      <c r="A62" s="6" t="s">
        <v>61</v>
      </c>
      <c r="B62" s="7" t="n">
        <v>0.050788</v>
      </c>
      <c r="C62" s="7" t="n">
        <f aca="false">((1+B62/100)^21-1)*100</f>
        <v>1.07198224735487</v>
      </c>
    </row>
    <row r="63" customFormat="false" ht="15" hidden="false" customHeight="false" outlineLevel="0" collapsed="false">
      <c r="A63" s="6" t="s">
        <v>62</v>
      </c>
      <c r="B63" s="7" t="n">
        <v>0.050788</v>
      </c>
      <c r="C63" s="7" t="n">
        <f aca="false">((1+B63/100)^21-1)*100</f>
        <v>1.07198224735487</v>
      </c>
    </row>
    <row r="64" customFormat="false" ht="15" hidden="false" customHeight="false" outlineLevel="0" collapsed="false">
      <c r="A64" s="6" t="s">
        <v>63</v>
      </c>
      <c r="B64" s="7" t="n">
        <v>0.050788</v>
      </c>
      <c r="C64" s="7" t="n">
        <f aca="false">((1+B64/100)^21-1)*100</f>
        <v>1.07198224735487</v>
      </c>
    </row>
    <row r="65" customFormat="false" ht="15" hidden="false" customHeight="false" outlineLevel="0" collapsed="false">
      <c r="A65" s="6" t="s">
        <v>64</v>
      </c>
      <c r="B65" s="7" t="n">
        <v>0.050788</v>
      </c>
      <c r="C65" s="7" t="n">
        <f aca="false">((1+B65/100)^21-1)*100</f>
        <v>1.07198224735487</v>
      </c>
    </row>
    <row r="66" customFormat="false" ht="15" hidden="false" customHeight="false" outlineLevel="0" collapsed="false">
      <c r="A66" s="6" t="s">
        <v>65</v>
      </c>
      <c r="B66" s="7" t="n">
        <v>0.050788</v>
      </c>
      <c r="C66" s="7" t="n">
        <f aca="false">((1+B66/100)^21-1)*100</f>
        <v>1.07198224735487</v>
      </c>
    </row>
    <row r="67" customFormat="false" ht="15" hidden="false" customHeight="false" outlineLevel="0" collapsed="false">
      <c r="A67" s="6" t="s">
        <v>66</v>
      </c>
      <c r="B67" s="7" t="n">
        <v>0.050788</v>
      </c>
      <c r="C67" s="7" t="n">
        <f aca="false">((1+B67/100)^21-1)*100</f>
        <v>1.07198224735487</v>
      </c>
    </row>
    <row r="68" customFormat="false" ht="15" hidden="false" customHeight="false" outlineLevel="0" collapsed="false">
      <c r="A68" s="6" t="s">
        <v>67</v>
      </c>
      <c r="B68" s="7" t="n">
        <v>0.050788</v>
      </c>
      <c r="C68" s="7" t="n">
        <f aca="false">((1+B68/100)^21-1)*100</f>
        <v>1.07198224735487</v>
      </c>
    </row>
    <row r="69" customFormat="false" ht="15" hidden="false" customHeight="false" outlineLevel="0" collapsed="false">
      <c r="A69" s="6" t="s">
        <v>68</v>
      </c>
      <c r="B69" s="7" t="n">
        <v>0.050788</v>
      </c>
      <c r="C69" s="7" t="n">
        <f aca="false">((1+B69/100)^21-1)*100</f>
        <v>1.07198224735487</v>
      </c>
    </row>
    <row r="70" customFormat="false" ht="15" hidden="false" customHeight="false" outlineLevel="0" collapsed="false">
      <c r="A70" s="6" t="s">
        <v>69</v>
      </c>
      <c r="B70" s="7" t="n">
        <v>0.050788</v>
      </c>
      <c r="C70" s="7" t="n">
        <f aca="false">((1+B70/100)^21-1)*100</f>
        <v>1.07198224735487</v>
      </c>
    </row>
    <row r="71" customFormat="false" ht="15" hidden="false" customHeight="false" outlineLevel="0" collapsed="false">
      <c r="A71" s="6" t="s">
        <v>70</v>
      </c>
      <c r="B71" s="7" t="n">
        <v>0.050788</v>
      </c>
      <c r="C71" s="7" t="n">
        <f aca="false">((1+B71/100)^21-1)*100</f>
        <v>1.07198224735487</v>
      </c>
    </row>
    <row r="72" customFormat="false" ht="15" hidden="false" customHeight="false" outlineLevel="0" collapsed="false">
      <c r="A72" s="6" t="s">
        <v>71</v>
      </c>
      <c r="B72" s="7" t="n">
        <v>0.050788</v>
      </c>
      <c r="C72" s="7" t="n">
        <f aca="false">((1+B72/100)^21-1)*100</f>
        <v>1.07198224735487</v>
      </c>
    </row>
    <row r="73" customFormat="false" ht="15" hidden="false" customHeight="false" outlineLevel="0" collapsed="false">
      <c r="A73" s="6" t="s">
        <v>72</v>
      </c>
      <c r="B73" s="7" t="n">
        <v>0.050788</v>
      </c>
      <c r="C73" s="7" t="n">
        <f aca="false">((1+B73/100)^21-1)*100</f>
        <v>1.07198224735487</v>
      </c>
    </row>
    <row r="74" customFormat="false" ht="15" hidden="false" customHeight="false" outlineLevel="0" collapsed="false">
      <c r="A74" s="6" t="s">
        <v>73</v>
      </c>
      <c r="B74" s="7" t="n">
        <v>0.050788</v>
      </c>
      <c r="C74" s="7" t="n">
        <f aca="false">((1+B74/100)^21-1)*100</f>
        <v>1.07198224735487</v>
      </c>
    </row>
    <row r="75" customFormat="false" ht="15" hidden="false" customHeight="false" outlineLevel="0" collapsed="false">
      <c r="A75" s="6" t="s">
        <v>74</v>
      </c>
      <c r="B75" s="7" t="n">
        <v>0.050788</v>
      </c>
      <c r="C75" s="7" t="n">
        <f aca="false">((1+B75/100)^21-1)*100</f>
        <v>1.07198224735487</v>
      </c>
    </row>
    <row r="76" customFormat="false" ht="15" hidden="false" customHeight="false" outlineLevel="0" collapsed="false">
      <c r="A76" s="6" t="s">
        <v>75</v>
      </c>
      <c r="B76" s="7" t="n">
        <v>0.050788</v>
      </c>
      <c r="C76" s="7" t="n">
        <f aca="false">((1+B76/100)^21-1)*100</f>
        <v>1.07198224735487</v>
      </c>
    </row>
    <row r="77" customFormat="false" ht="15" hidden="false" customHeight="false" outlineLevel="0" collapsed="false">
      <c r="A77" s="6" t="s">
        <v>76</v>
      </c>
      <c r="B77" s="7" t="n">
        <v>0.050788</v>
      </c>
      <c r="C77" s="7" t="n">
        <f aca="false">((1+B77/100)^21-1)*100</f>
        <v>1.07198224735487</v>
      </c>
    </row>
    <row r="78" customFormat="false" ht="15" hidden="false" customHeight="false" outlineLevel="0" collapsed="false">
      <c r="A78" s="6" t="s">
        <v>77</v>
      </c>
      <c r="B78" s="7" t="n">
        <v>0.050788</v>
      </c>
      <c r="C78" s="7" t="n">
        <f aca="false">((1+B78/100)^21-1)*100</f>
        <v>1.07198224735487</v>
      </c>
    </row>
    <row r="79" customFormat="false" ht="15" hidden="false" customHeight="false" outlineLevel="0" collapsed="false">
      <c r="A79" s="6" t="s">
        <v>78</v>
      </c>
      <c r="B79" s="7" t="n">
        <v>0.050788</v>
      </c>
      <c r="C79" s="7" t="n">
        <f aca="false">((1+B79/100)^21-1)*100</f>
        <v>1.07198224735487</v>
      </c>
    </row>
    <row r="80" customFormat="false" ht="15" hidden="false" customHeight="false" outlineLevel="0" collapsed="false">
      <c r="A80" s="6" t="s">
        <v>79</v>
      </c>
      <c r="B80" s="7" t="n">
        <v>0.050788</v>
      </c>
      <c r="C80" s="7" t="n">
        <f aca="false">((1+B80/100)^21-1)*100</f>
        <v>1.07198224735487</v>
      </c>
    </row>
    <row r="81" customFormat="false" ht="15" hidden="false" customHeight="false" outlineLevel="0" collapsed="false">
      <c r="A81" s="6" t="s">
        <v>80</v>
      </c>
      <c r="B81" s="7" t="n">
        <v>0.050788</v>
      </c>
      <c r="C81" s="7" t="n">
        <f aca="false">((1+B81/100)^21-1)*100</f>
        <v>1.07198224735487</v>
      </c>
    </row>
    <row r="82" customFormat="false" ht="15" hidden="false" customHeight="false" outlineLevel="0" collapsed="false">
      <c r="A82" s="6" t="s">
        <v>81</v>
      </c>
      <c r="B82" s="7" t="n">
        <v>0.050788</v>
      </c>
      <c r="C82" s="7" t="n">
        <f aca="false">((1+B82/100)^21-1)*100</f>
        <v>1.07198224735487</v>
      </c>
    </row>
    <row r="83" customFormat="false" ht="15" hidden="false" customHeight="false" outlineLevel="0" collapsed="false">
      <c r="A83" s="6" t="s">
        <v>82</v>
      </c>
      <c r="B83" s="7" t="n">
        <v>0.050788</v>
      </c>
      <c r="C83" s="7" t="n">
        <f aca="false">((1+B83/100)^21-1)*100</f>
        <v>1.07198224735487</v>
      </c>
    </row>
    <row r="84" customFormat="false" ht="15" hidden="false" customHeight="false" outlineLevel="0" collapsed="false">
      <c r="A84" s="6" t="s">
        <v>83</v>
      </c>
      <c r="B84" s="7" t="n">
        <v>0.050788</v>
      </c>
      <c r="C84" s="7" t="n">
        <f aca="false">((1+B84/100)^21-1)*100</f>
        <v>1.07198224735487</v>
      </c>
    </row>
    <row r="85" customFormat="false" ht="15" hidden="false" customHeight="false" outlineLevel="0" collapsed="false">
      <c r="A85" s="6" t="s">
        <v>84</v>
      </c>
      <c r="B85" s="7" t="n">
        <v>0.050788</v>
      </c>
      <c r="C85" s="7" t="n">
        <f aca="false">((1+B85/100)^21-1)*100</f>
        <v>1.07198224735487</v>
      </c>
    </row>
    <row r="86" customFormat="false" ht="15" hidden="false" customHeight="false" outlineLevel="0" collapsed="false">
      <c r="A86" s="6" t="s">
        <v>85</v>
      </c>
      <c r="B86" s="7" t="n">
        <v>0.050788</v>
      </c>
      <c r="C86" s="7" t="n">
        <f aca="false">((1+B86/100)^21-1)*100</f>
        <v>1.07198224735487</v>
      </c>
    </row>
    <row r="87" customFormat="false" ht="15" hidden="false" customHeight="false" outlineLevel="0" collapsed="false">
      <c r="A87" s="6" t="s">
        <v>86</v>
      </c>
      <c r="B87" s="7" t="n">
        <v>0.050788</v>
      </c>
      <c r="C87" s="7" t="n">
        <f aca="false">((1+B87/100)^21-1)*100</f>
        <v>1.07198224735487</v>
      </c>
    </row>
    <row r="88" customFormat="false" ht="15" hidden="false" customHeight="false" outlineLevel="0" collapsed="false">
      <c r="A88" s="6" t="s">
        <v>87</v>
      </c>
      <c r="B88" s="7" t="n">
        <v>0.050788</v>
      </c>
      <c r="C88" s="7" t="n">
        <f aca="false">((1+B88/100)^21-1)*100</f>
        <v>1.07198224735487</v>
      </c>
    </row>
    <row r="89" customFormat="false" ht="15" hidden="false" customHeight="false" outlineLevel="0" collapsed="false">
      <c r="A89" s="6" t="s">
        <v>88</v>
      </c>
      <c r="B89" s="7" t="n">
        <v>0.050788</v>
      </c>
      <c r="C89" s="7" t="n">
        <f aca="false">((1+B89/100)^21-1)*100</f>
        <v>1.07198224735487</v>
      </c>
    </row>
    <row r="90" customFormat="false" ht="15" hidden="false" customHeight="false" outlineLevel="0" collapsed="false">
      <c r="A90" s="6" t="s">
        <v>89</v>
      </c>
      <c r="B90" s="7" t="n">
        <v>0.050788</v>
      </c>
      <c r="C90" s="7" t="n">
        <f aca="false">((1+B90/100)^21-1)*100</f>
        <v>1.07198224735487</v>
      </c>
    </row>
    <row r="91" customFormat="false" ht="15" hidden="false" customHeight="false" outlineLevel="0" collapsed="false">
      <c r="A91" s="6" t="s">
        <v>90</v>
      </c>
      <c r="B91" s="7" t="n">
        <v>0.050788</v>
      </c>
      <c r="C91" s="7" t="n">
        <f aca="false">((1+B91/100)^21-1)*100</f>
        <v>1.07198224735487</v>
      </c>
    </row>
    <row r="92" customFormat="false" ht="15" hidden="false" customHeight="false" outlineLevel="0" collapsed="false">
      <c r="A92" s="6" t="s">
        <v>91</v>
      </c>
      <c r="B92" s="7" t="n">
        <v>0.050788</v>
      </c>
      <c r="C92" s="7" t="n">
        <f aca="false">((1+B92/100)^21-1)*100</f>
        <v>1.07198224735487</v>
      </c>
    </row>
    <row r="93" customFormat="false" ht="15" hidden="false" customHeight="false" outlineLevel="0" collapsed="false">
      <c r="A93" s="6" t="s">
        <v>92</v>
      </c>
      <c r="B93" s="7" t="n">
        <v>0.050788</v>
      </c>
      <c r="C93" s="7" t="n">
        <f aca="false">((1+B93/100)^21-1)*100</f>
        <v>1.07198224735487</v>
      </c>
    </row>
    <row r="94" customFormat="false" ht="15" hidden="false" customHeight="false" outlineLevel="0" collapsed="false">
      <c r="A94" s="6" t="s">
        <v>93</v>
      </c>
      <c r="B94" s="7" t="n">
        <v>0.050788</v>
      </c>
      <c r="C94" s="7" t="n">
        <f aca="false">((1+B94/100)^21-1)*100</f>
        <v>1.07198224735487</v>
      </c>
    </row>
    <row r="95" customFormat="false" ht="15" hidden="false" customHeight="false" outlineLevel="0" collapsed="false">
      <c r="A95" s="6" t="s">
        <v>94</v>
      </c>
      <c r="B95" s="7" t="n">
        <v>0.050788</v>
      </c>
      <c r="C95" s="7" t="n">
        <f aca="false">((1+B95/100)^21-1)*100</f>
        <v>1.07198224735487</v>
      </c>
    </row>
    <row r="96" customFormat="false" ht="15" hidden="false" customHeight="false" outlineLevel="0" collapsed="false">
      <c r="A96" s="6" t="s">
        <v>95</v>
      </c>
      <c r="B96" s="7" t="n">
        <v>0.050788</v>
      </c>
      <c r="C96" s="7" t="n">
        <f aca="false">((1+B96/100)^21-1)*100</f>
        <v>1.07198224735487</v>
      </c>
    </row>
    <row r="97" customFormat="false" ht="15" hidden="false" customHeight="false" outlineLevel="0" collapsed="false">
      <c r="A97" s="6" t="s">
        <v>96</v>
      </c>
      <c r="B97" s="7" t="n">
        <v>0.050788</v>
      </c>
      <c r="C97" s="7" t="n">
        <f aca="false">((1+B97/100)^21-1)*100</f>
        <v>1.07198224735487</v>
      </c>
    </row>
    <row r="98" customFormat="false" ht="15" hidden="false" customHeight="false" outlineLevel="0" collapsed="false">
      <c r="A98" s="6" t="s">
        <v>97</v>
      </c>
      <c r="B98" s="7" t="n">
        <v>0.050788</v>
      </c>
      <c r="C98" s="7" t="n">
        <f aca="false">((1+B98/100)^21-1)*100</f>
        <v>1.07198224735487</v>
      </c>
    </row>
    <row r="99" customFormat="false" ht="15" hidden="false" customHeight="false" outlineLevel="0" collapsed="false">
      <c r="A99" s="6" t="s">
        <v>98</v>
      </c>
      <c r="B99" s="7" t="n">
        <v>0.050788</v>
      </c>
      <c r="C99" s="7" t="n">
        <f aca="false">((1+B99/100)^21-1)*100</f>
        <v>1.07198224735487</v>
      </c>
    </row>
    <row r="100" customFormat="false" ht="15" hidden="false" customHeight="false" outlineLevel="0" collapsed="false">
      <c r="A100" s="6" t="s">
        <v>99</v>
      </c>
      <c r="B100" s="7" t="n">
        <v>0.050788</v>
      </c>
      <c r="C100" s="7" t="n">
        <f aca="false">((1+B100/100)^21-1)*100</f>
        <v>1.07198224735487</v>
      </c>
    </row>
    <row r="101" customFormat="false" ht="15" hidden="false" customHeight="false" outlineLevel="0" collapsed="false">
      <c r="A101" s="6" t="s">
        <v>100</v>
      </c>
      <c r="B101" s="7" t="n">
        <v>0.050788</v>
      </c>
      <c r="C101" s="7" t="n">
        <f aca="false">((1+B101/100)^21-1)*100</f>
        <v>1.07198224735487</v>
      </c>
    </row>
    <row r="102" customFormat="false" ht="15" hidden="false" customHeight="false" outlineLevel="0" collapsed="false">
      <c r="A102" s="6" t="s">
        <v>101</v>
      </c>
      <c r="B102" s="7" t="n">
        <v>0.050788</v>
      </c>
      <c r="C102" s="7" t="n">
        <f aca="false">((1+B102/100)^21-1)*100</f>
        <v>1.07198224735487</v>
      </c>
    </row>
    <row r="103" customFormat="false" ht="15" hidden="false" customHeight="false" outlineLevel="0" collapsed="false">
      <c r="A103" s="6" t="s">
        <v>102</v>
      </c>
      <c r="B103" s="7" t="n">
        <v>0.050788</v>
      </c>
      <c r="C103" s="7" t="n">
        <f aca="false">((1+B103/100)^21-1)*100</f>
        <v>1.07198224735487</v>
      </c>
    </row>
    <row r="104" customFormat="false" ht="15" hidden="false" customHeight="false" outlineLevel="0" collapsed="false">
      <c r="A104" s="6" t="s">
        <v>103</v>
      </c>
      <c r="B104" s="7" t="n">
        <v>0.050788</v>
      </c>
      <c r="C104" s="7" t="n">
        <f aca="false">((1+B104/100)^21-1)*100</f>
        <v>1.07198224735487</v>
      </c>
    </row>
    <row r="105" customFormat="false" ht="15" hidden="false" customHeight="false" outlineLevel="0" collapsed="false">
      <c r="A105" s="6" t="s">
        <v>104</v>
      </c>
      <c r="B105" s="7" t="n">
        <v>0.050788</v>
      </c>
      <c r="C105" s="7" t="n">
        <f aca="false">((1+B105/100)^21-1)*100</f>
        <v>1.07198224735487</v>
      </c>
    </row>
    <row r="106" customFormat="false" ht="15" hidden="false" customHeight="false" outlineLevel="0" collapsed="false">
      <c r="A106" s="6" t="s">
        <v>105</v>
      </c>
      <c r="B106" s="7" t="n">
        <v>0.050788</v>
      </c>
      <c r="C106" s="7" t="n">
        <f aca="false">((1+B106/100)^21-1)*100</f>
        <v>1.07198224735487</v>
      </c>
    </row>
    <row r="107" customFormat="false" ht="15" hidden="false" customHeight="false" outlineLevel="0" collapsed="false">
      <c r="A107" s="6" t="s">
        <v>106</v>
      </c>
      <c r="B107" s="7" t="n">
        <v>0.050788</v>
      </c>
      <c r="C107" s="7" t="n">
        <f aca="false">((1+B107/100)^21-1)*100</f>
        <v>1.07198224735487</v>
      </c>
    </row>
    <row r="108" customFormat="false" ht="15" hidden="false" customHeight="false" outlineLevel="0" collapsed="false">
      <c r="A108" s="6" t="s">
        <v>107</v>
      </c>
      <c r="B108" s="7" t="n">
        <v>0.050788</v>
      </c>
      <c r="C108" s="7" t="n">
        <f aca="false">((1+B108/100)^21-1)*100</f>
        <v>1.07198224735487</v>
      </c>
    </row>
    <row r="109" customFormat="false" ht="15" hidden="false" customHeight="false" outlineLevel="0" collapsed="false">
      <c r="A109" s="6" t="s">
        <v>108</v>
      </c>
      <c r="B109" s="7" t="n">
        <v>0.050788</v>
      </c>
      <c r="C109" s="7" t="n">
        <f aca="false">((1+B109/100)^21-1)*100</f>
        <v>1.07198224735487</v>
      </c>
    </row>
    <row r="110" customFormat="false" ht="15" hidden="false" customHeight="false" outlineLevel="0" collapsed="false">
      <c r="A110" s="6" t="s">
        <v>109</v>
      </c>
      <c r="B110" s="7" t="n">
        <v>0.050788</v>
      </c>
      <c r="C110" s="7" t="n">
        <f aca="false">((1+B110/100)^21-1)*100</f>
        <v>1.07198224735487</v>
      </c>
    </row>
    <row r="111" customFormat="false" ht="15" hidden="false" customHeight="false" outlineLevel="0" collapsed="false">
      <c r="A111" s="6" t="s">
        <v>110</v>
      </c>
      <c r="B111" s="7" t="n">
        <v>0.050788</v>
      </c>
      <c r="C111" s="7" t="n">
        <f aca="false">((1+B111/100)^21-1)*100</f>
        <v>1.07198224735487</v>
      </c>
    </row>
    <row r="112" customFormat="false" ht="15" hidden="false" customHeight="false" outlineLevel="0" collapsed="false">
      <c r="A112" s="6" t="s">
        <v>111</v>
      </c>
      <c r="B112" s="7" t="n">
        <v>0.050788</v>
      </c>
      <c r="C112" s="7" t="n">
        <f aca="false">((1+B112/100)^21-1)*100</f>
        <v>1.07198224735487</v>
      </c>
    </row>
    <row r="113" customFormat="false" ht="15" hidden="false" customHeight="false" outlineLevel="0" collapsed="false">
      <c r="A113" s="6" t="s">
        <v>112</v>
      </c>
      <c r="B113" s="7" t="n">
        <v>0.050788</v>
      </c>
      <c r="C113" s="7" t="n">
        <f aca="false">((1+B113/100)^21-1)*100</f>
        <v>1.07198224735487</v>
      </c>
    </row>
    <row r="114" customFormat="false" ht="15" hidden="false" customHeight="false" outlineLevel="0" collapsed="false">
      <c r="A114" s="6" t="s">
        <v>113</v>
      </c>
      <c r="B114" s="7" t="n">
        <v>0.050788</v>
      </c>
      <c r="C114" s="7" t="n">
        <f aca="false">((1+B114/100)^21-1)*100</f>
        <v>1.07198224735487</v>
      </c>
    </row>
    <row r="115" customFormat="false" ht="15" hidden="false" customHeight="false" outlineLevel="0" collapsed="false">
      <c r="A115" s="6" t="s">
        <v>114</v>
      </c>
      <c r="B115" s="7" t="n">
        <v>0.050788</v>
      </c>
      <c r="C115" s="7" t="n">
        <f aca="false">((1+B115/100)^21-1)*100</f>
        <v>1.07198224735487</v>
      </c>
    </row>
    <row r="116" customFormat="false" ht="15" hidden="false" customHeight="false" outlineLevel="0" collapsed="false">
      <c r="A116" s="6" t="s">
        <v>115</v>
      </c>
      <c r="B116" s="7" t="n">
        <v>0.050788</v>
      </c>
      <c r="C116" s="7" t="n">
        <f aca="false">((1+B116/100)^21-1)*100</f>
        <v>1.07198224735487</v>
      </c>
    </row>
    <row r="117" customFormat="false" ht="15" hidden="false" customHeight="false" outlineLevel="0" collapsed="false">
      <c r="A117" s="6" t="s">
        <v>116</v>
      </c>
      <c r="B117" s="7" t="n">
        <v>0.050788</v>
      </c>
      <c r="C117" s="7" t="n">
        <f aca="false">((1+B117/100)^21-1)*100</f>
        <v>1.07198224735487</v>
      </c>
    </row>
    <row r="118" customFormat="false" ht="15" hidden="false" customHeight="false" outlineLevel="0" collapsed="false">
      <c r="A118" s="6" t="s">
        <v>117</v>
      </c>
      <c r="B118" s="7" t="n">
        <v>0.050788</v>
      </c>
      <c r="C118" s="7" t="n">
        <f aca="false">((1+B118/100)^21-1)*100</f>
        <v>1.07198224735487</v>
      </c>
    </row>
    <row r="119" customFormat="false" ht="15" hidden="false" customHeight="false" outlineLevel="0" collapsed="false">
      <c r="A119" s="6" t="s">
        <v>118</v>
      </c>
      <c r="B119" s="7" t="n">
        <v>0.050788</v>
      </c>
      <c r="C119" s="7" t="n">
        <f aca="false">((1+B119/100)^21-1)*100</f>
        <v>1.07198224735487</v>
      </c>
    </row>
    <row r="120" customFormat="false" ht="15" hidden="false" customHeight="false" outlineLevel="0" collapsed="false">
      <c r="A120" s="6" t="s">
        <v>119</v>
      </c>
      <c r="B120" s="7" t="n">
        <v>0.050788</v>
      </c>
      <c r="C120" s="7" t="n">
        <f aca="false">((1+B120/100)^21-1)*100</f>
        <v>1.07198224735487</v>
      </c>
    </row>
    <row r="121" customFormat="false" ht="15" hidden="false" customHeight="false" outlineLevel="0" collapsed="false">
      <c r="A121" s="6" t="s">
        <v>120</v>
      </c>
      <c r="B121" s="7" t="n">
        <v>0.050788</v>
      </c>
      <c r="C121" s="7" t="n">
        <f aca="false">((1+B121/100)^21-1)*100</f>
        <v>1.07198224735487</v>
      </c>
    </row>
    <row r="122" customFormat="false" ht="15" hidden="false" customHeight="false" outlineLevel="0" collapsed="false">
      <c r="A122" s="6" t="s">
        <v>121</v>
      </c>
      <c r="B122" s="7" t="n">
        <v>0.050788</v>
      </c>
      <c r="C122" s="7" t="n">
        <f aca="false">((1+B122/100)^21-1)*100</f>
        <v>1.07198224735487</v>
      </c>
    </row>
    <row r="123" customFormat="false" ht="15" hidden="false" customHeight="false" outlineLevel="0" collapsed="false">
      <c r="A123" s="6" t="s">
        <v>122</v>
      </c>
      <c r="B123" s="7" t="n">
        <v>0.050788</v>
      </c>
      <c r="C123" s="7" t="n">
        <f aca="false">((1+B123/100)^21-1)*100</f>
        <v>1.07198224735487</v>
      </c>
    </row>
    <row r="124" customFormat="false" ht="15" hidden="false" customHeight="false" outlineLevel="0" collapsed="false">
      <c r="A124" s="6" t="s">
        <v>123</v>
      </c>
      <c r="B124" s="7" t="n">
        <v>0.050788</v>
      </c>
      <c r="C124" s="7" t="n">
        <f aca="false">((1+B124/100)^21-1)*100</f>
        <v>1.07198224735487</v>
      </c>
    </row>
    <row r="125" customFormat="false" ht="15" hidden="false" customHeight="false" outlineLevel="0" collapsed="false">
      <c r="A125" s="6" t="s">
        <v>124</v>
      </c>
      <c r="B125" s="7" t="n">
        <v>0.050788</v>
      </c>
      <c r="C125" s="7" t="n">
        <f aca="false">((1+B125/100)^21-1)*100</f>
        <v>1.07198224735487</v>
      </c>
    </row>
    <row r="126" customFormat="false" ht="15" hidden="false" customHeight="false" outlineLevel="0" collapsed="false">
      <c r="A126" s="6" t="s">
        <v>125</v>
      </c>
      <c r="B126" s="7" t="n">
        <v>0.050788</v>
      </c>
      <c r="C126" s="7" t="n">
        <f aca="false">((1+B126/100)^21-1)*100</f>
        <v>1.07198224735487</v>
      </c>
    </row>
    <row r="127" customFormat="false" ht="15" hidden="false" customHeight="false" outlineLevel="0" collapsed="false">
      <c r="A127" s="6" t="s">
        <v>126</v>
      </c>
      <c r="B127" s="7" t="n">
        <v>0.050788</v>
      </c>
      <c r="C127" s="7" t="n">
        <f aca="false">((1+B127/100)^21-1)*100</f>
        <v>1.07198224735487</v>
      </c>
    </row>
    <row r="128" customFormat="false" ht="15" hidden="false" customHeight="false" outlineLevel="0" collapsed="false">
      <c r="A128" s="6" t="s">
        <v>127</v>
      </c>
      <c r="B128" s="7" t="n">
        <v>0.050788</v>
      </c>
      <c r="C128" s="7" t="n">
        <f aca="false">((1+B128/100)^21-1)*100</f>
        <v>1.07198224735487</v>
      </c>
    </row>
    <row r="129" customFormat="false" ht="15" hidden="false" customHeight="false" outlineLevel="0" collapsed="false">
      <c r="A129" s="6" t="s">
        <v>128</v>
      </c>
      <c r="B129" s="7" t="n">
        <v>0.050788</v>
      </c>
      <c r="C129" s="7" t="n">
        <f aca="false">((1+B129/100)^21-1)*100</f>
        <v>1.07198224735487</v>
      </c>
    </row>
    <row r="130" customFormat="false" ht="15" hidden="false" customHeight="false" outlineLevel="0" collapsed="false">
      <c r="A130" s="6" t="s">
        <v>129</v>
      </c>
      <c r="B130" s="7" t="n">
        <v>0.050788</v>
      </c>
      <c r="C130" s="7" t="n">
        <f aca="false">((1+B130/100)^21-1)*100</f>
        <v>1.07198224735487</v>
      </c>
    </row>
    <row r="131" customFormat="false" ht="15" hidden="false" customHeight="false" outlineLevel="0" collapsed="false">
      <c r="A131" s="6" t="s">
        <v>130</v>
      </c>
      <c r="B131" s="7" t="n">
        <v>0.050788</v>
      </c>
      <c r="C131" s="7" t="n">
        <f aca="false">((1+B131/100)^21-1)*100</f>
        <v>1.07198224735487</v>
      </c>
    </row>
    <row r="132" customFormat="false" ht="15" hidden="false" customHeight="false" outlineLevel="0" collapsed="false">
      <c r="A132" s="6" t="s">
        <v>131</v>
      </c>
      <c r="B132" s="7" t="n">
        <v>0.050788</v>
      </c>
      <c r="C132" s="7" t="n">
        <f aca="false">((1+B132/100)^21-1)*100</f>
        <v>1.07198224735487</v>
      </c>
    </row>
    <row r="133" customFormat="false" ht="15" hidden="false" customHeight="false" outlineLevel="0" collapsed="false">
      <c r="A133" s="6" t="s">
        <v>132</v>
      </c>
      <c r="B133" s="7" t="n">
        <v>0.050788</v>
      </c>
      <c r="C133" s="7" t="n">
        <f aca="false">((1+B133/100)^21-1)*100</f>
        <v>1.07198224735487</v>
      </c>
    </row>
    <row r="134" customFormat="false" ht="15" hidden="false" customHeight="false" outlineLevel="0" collapsed="false">
      <c r="A134" s="6" t="s">
        <v>133</v>
      </c>
      <c r="B134" s="7" t="n">
        <v>0.050788</v>
      </c>
      <c r="C134" s="7" t="n">
        <f aca="false">((1+B134/100)^21-1)*100</f>
        <v>1.07198224735487</v>
      </c>
    </row>
    <row r="135" customFormat="false" ht="15" hidden="false" customHeight="false" outlineLevel="0" collapsed="false">
      <c r="A135" s="6" t="s">
        <v>134</v>
      </c>
      <c r="B135" s="7" t="n">
        <v>0.050788</v>
      </c>
      <c r="C135" s="7" t="n">
        <f aca="false">((1+B135/100)^21-1)*100</f>
        <v>1.07198224735487</v>
      </c>
    </row>
    <row r="136" customFormat="false" ht="15" hidden="false" customHeight="false" outlineLevel="0" collapsed="false">
      <c r="A136" s="6" t="s">
        <v>135</v>
      </c>
      <c r="B136" s="7" t="n">
        <v>0.050788</v>
      </c>
      <c r="C136" s="7" t="n">
        <f aca="false">((1+B136/100)^21-1)*100</f>
        <v>1.07198224735487</v>
      </c>
    </row>
    <row r="137" customFormat="false" ht="15" hidden="false" customHeight="false" outlineLevel="0" collapsed="false">
      <c r="A137" s="6" t="s">
        <v>136</v>
      </c>
      <c r="B137" s="7" t="n">
        <v>0.050788</v>
      </c>
      <c r="C137" s="7" t="n">
        <f aca="false">((1+B137/100)^21-1)*100</f>
        <v>1.07198224735487</v>
      </c>
    </row>
    <row r="138" customFormat="false" ht="15" hidden="false" customHeight="false" outlineLevel="0" collapsed="false">
      <c r="A138" s="6" t="s">
        <v>137</v>
      </c>
      <c r="B138" s="7" t="n">
        <v>0.050788</v>
      </c>
      <c r="C138" s="7" t="n">
        <f aca="false">((1+B138/100)^21-1)*100</f>
        <v>1.07198224735487</v>
      </c>
    </row>
    <row r="139" customFormat="false" ht="15" hidden="false" customHeight="false" outlineLevel="0" collapsed="false">
      <c r="A139" s="6" t="s">
        <v>138</v>
      </c>
      <c r="B139" s="7" t="n">
        <v>0.050788</v>
      </c>
      <c r="C139" s="7" t="n">
        <f aca="false">((1+B139/100)^21-1)*100</f>
        <v>1.07198224735487</v>
      </c>
    </row>
    <row r="140" customFormat="false" ht="15" hidden="false" customHeight="false" outlineLevel="0" collapsed="false">
      <c r="A140" s="6" t="s">
        <v>139</v>
      </c>
      <c r="B140" s="7" t="n">
        <v>0.050788</v>
      </c>
      <c r="C140" s="7" t="n">
        <f aca="false">((1+B140/100)^21-1)*100</f>
        <v>1.07198224735487</v>
      </c>
    </row>
    <row r="141" customFormat="false" ht="15" hidden="false" customHeight="false" outlineLevel="0" collapsed="false">
      <c r="A141" s="6" t="s">
        <v>140</v>
      </c>
      <c r="B141" s="7" t="n">
        <v>0.050788</v>
      </c>
      <c r="C141" s="7" t="n">
        <f aca="false">((1+B141/100)^21-1)*100</f>
        <v>1.07198224735487</v>
      </c>
    </row>
    <row r="142" customFormat="false" ht="15" hidden="false" customHeight="false" outlineLevel="0" collapsed="false">
      <c r="A142" s="6" t="s">
        <v>141</v>
      </c>
      <c r="B142" s="7" t="n">
        <v>0.050788</v>
      </c>
      <c r="C142" s="7" t="n">
        <f aca="false">((1+B142/100)^21-1)*100</f>
        <v>1.07198224735487</v>
      </c>
    </row>
    <row r="143" customFormat="false" ht="15" hidden="false" customHeight="false" outlineLevel="0" collapsed="false">
      <c r="A143" s="6" t="s">
        <v>142</v>
      </c>
      <c r="B143" s="7" t="n">
        <v>0.050788</v>
      </c>
      <c r="C143" s="7" t="n">
        <f aca="false">((1+B143/100)^21-1)*100</f>
        <v>1.07198224735487</v>
      </c>
    </row>
    <row r="144" customFormat="false" ht="15" hidden="false" customHeight="false" outlineLevel="0" collapsed="false">
      <c r="A144" s="6" t="s">
        <v>143</v>
      </c>
      <c r="B144" s="7" t="n">
        <v>0.050788</v>
      </c>
      <c r="C144" s="7" t="n">
        <f aca="false">((1+B144/100)^21-1)*100</f>
        <v>1.07198224735487</v>
      </c>
    </row>
    <row r="145" customFormat="false" ht="15" hidden="false" customHeight="false" outlineLevel="0" collapsed="false">
      <c r="A145" s="6" t="s">
        <v>144</v>
      </c>
      <c r="B145" s="7" t="n">
        <v>0.050788</v>
      </c>
      <c r="C145" s="7" t="n">
        <f aca="false">((1+B145/100)^21-1)*100</f>
        <v>1.07198224735487</v>
      </c>
    </row>
    <row r="146" customFormat="false" ht="15" hidden="false" customHeight="false" outlineLevel="0" collapsed="false">
      <c r="A146" s="6" t="s">
        <v>145</v>
      </c>
      <c r="B146" s="7" t="n">
        <v>0.050788</v>
      </c>
      <c r="C146" s="7" t="n">
        <f aca="false">((1+B146/100)^21-1)*100</f>
        <v>1.07198224735487</v>
      </c>
    </row>
    <row r="147" customFormat="false" ht="15" hidden="false" customHeight="false" outlineLevel="0" collapsed="false">
      <c r="A147" s="6" t="s">
        <v>146</v>
      </c>
      <c r="B147" s="7" t="n">
        <v>0.050788</v>
      </c>
      <c r="C147" s="7" t="n">
        <f aca="false">((1+B147/100)^21-1)*100</f>
        <v>1.07198224735487</v>
      </c>
    </row>
    <row r="148" customFormat="false" ht="15" hidden="false" customHeight="false" outlineLevel="0" collapsed="false">
      <c r="A148" s="6" t="s">
        <v>147</v>
      </c>
      <c r="B148" s="7" t="n">
        <v>0.050788</v>
      </c>
      <c r="C148" s="7" t="n">
        <f aca="false">((1+B148/100)^21-1)*100</f>
        <v>1.07198224735487</v>
      </c>
    </row>
    <row r="149" customFormat="false" ht="15" hidden="false" customHeight="false" outlineLevel="0" collapsed="false">
      <c r="A149" s="6" t="s">
        <v>148</v>
      </c>
      <c r="B149" s="7" t="n">
        <v>0.050788</v>
      </c>
      <c r="C149" s="7" t="n">
        <f aca="false">((1+B149/100)^21-1)*100</f>
        <v>1.07198224735487</v>
      </c>
    </row>
    <row r="150" customFormat="false" ht="15" hidden="false" customHeight="false" outlineLevel="0" collapsed="false">
      <c r="A150" s="6" t="s">
        <v>149</v>
      </c>
      <c r="B150" s="7" t="n">
        <v>0.050788</v>
      </c>
      <c r="C150" s="7" t="n">
        <f aca="false">((1+B150/100)^21-1)*100</f>
        <v>1.07198224735487</v>
      </c>
    </row>
    <row r="151" customFormat="false" ht="15" hidden="false" customHeight="false" outlineLevel="0" collapsed="false">
      <c r="A151" s="6" t="s">
        <v>150</v>
      </c>
      <c r="B151" s="7" t="n">
        <v>0.050788</v>
      </c>
      <c r="C151" s="7" t="n">
        <f aca="false">((1+B151/100)^21-1)*100</f>
        <v>1.07198224735487</v>
      </c>
    </row>
    <row r="152" customFormat="false" ht="15" hidden="false" customHeight="false" outlineLevel="0" collapsed="false">
      <c r="A152" s="6" t="s">
        <v>151</v>
      </c>
      <c r="B152" s="7" t="n">
        <v>0.050788</v>
      </c>
      <c r="C152" s="7" t="n">
        <f aca="false">((1+B152/100)^21-1)*100</f>
        <v>1.07198224735487</v>
      </c>
    </row>
    <row r="153" customFormat="false" ht="15" hidden="false" customHeight="false" outlineLevel="0" collapsed="false">
      <c r="A153" s="6" t="s">
        <v>152</v>
      </c>
      <c r="B153" s="7" t="n">
        <v>0.050788</v>
      </c>
      <c r="C153" s="7" t="n">
        <f aca="false">((1+B153/100)^21-1)*100</f>
        <v>1.07198224735487</v>
      </c>
    </row>
    <row r="154" customFormat="false" ht="15" hidden="false" customHeight="false" outlineLevel="0" collapsed="false">
      <c r="A154" s="6" t="s">
        <v>153</v>
      </c>
      <c r="B154" s="7" t="n">
        <v>0.050788</v>
      </c>
      <c r="C154" s="7" t="n">
        <f aca="false">((1+B154/100)^21-1)*100</f>
        <v>1.07198224735487</v>
      </c>
    </row>
    <row r="155" customFormat="false" ht="15" hidden="false" customHeight="false" outlineLevel="0" collapsed="false">
      <c r="A155" s="6" t="s">
        <v>154</v>
      </c>
      <c r="B155" s="7" t="n">
        <v>0.049037</v>
      </c>
      <c r="C155" s="7" t="n">
        <f aca="false">((1+B155/100)^21-1)*100</f>
        <v>1.03484243492922</v>
      </c>
    </row>
    <row r="156" customFormat="false" ht="15" hidden="false" customHeight="false" outlineLevel="0" collapsed="false">
      <c r="A156" s="6" t="s">
        <v>155</v>
      </c>
      <c r="B156" s="7" t="n">
        <v>0.049037</v>
      </c>
      <c r="C156" s="7" t="n">
        <f aca="false">((1+B156/100)^21-1)*100</f>
        <v>1.03484243492922</v>
      </c>
    </row>
    <row r="157" customFormat="false" ht="15" hidden="false" customHeight="false" outlineLevel="0" collapsed="false">
      <c r="A157" s="6" t="s">
        <v>156</v>
      </c>
      <c r="B157" s="7" t="n">
        <v>0.049037</v>
      </c>
      <c r="C157" s="7" t="n">
        <f aca="false">((1+B157/100)^21-1)*100</f>
        <v>1.03484243492922</v>
      </c>
    </row>
    <row r="158" customFormat="false" ht="15" hidden="false" customHeight="false" outlineLevel="0" collapsed="false">
      <c r="A158" s="6" t="s">
        <v>157</v>
      </c>
      <c r="B158" s="7" t="n">
        <v>0.049037</v>
      </c>
      <c r="C158" s="7" t="n">
        <f aca="false">((1+B158/100)^21-1)*100</f>
        <v>1.03484243492922</v>
      </c>
    </row>
    <row r="159" customFormat="false" ht="15" hidden="false" customHeight="false" outlineLevel="0" collapsed="false">
      <c r="A159" s="6" t="s">
        <v>158</v>
      </c>
      <c r="B159" s="7" t="n">
        <v>0.049037</v>
      </c>
      <c r="C159" s="7" t="n">
        <f aca="false">((1+B159/100)^21-1)*100</f>
        <v>1.03484243492922</v>
      </c>
    </row>
    <row r="160" customFormat="false" ht="15" hidden="false" customHeight="false" outlineLevel="0" collapsed="false">
      <c r="A160" s="6" t="s">
        <v>159</v>
      </c>
      <c r="B160" s="7" t="n">
        <v>0.049037</v>
      </c>
      <c r="C160" s="7" t="n">
        <f aca="false">((1+B160/100)^21-1)*100</f>
        <v>1.03484243492922</v>
      </c>
    </row>
    <row r="161" customFormat="false" ht="15" hidden="false" customHeight="false" outlineLevel="0" collapsed="false">
      <c r="A161" s="6" t="s">
        <v>160</v>
      </c>
      <c r="B161" s="7" t="n">
        <v>0.049037</v>
      </c>
      <c r="C161" s="7" t="n">
        <f aca="false">((1+B161/100)^21-1)*100</f>
        <v>1.03484243492922</v>
      </c>
    </row>
    <row r="162" customFormat="false" ht="15" hidden="false" customHeight="false" outlineLevel="0" collapsed="false">
      <c r="A162" s="6" t="s">
        <v>161</v>
      </c>
      <c r="B162" s="7" t="n">
        <v>0.049037</v>
      </c>
      <c r="C162" s="7" t="n">
        <f aca="false">((1+B162/100)^21-1)*100</f>
        <v>1.03484243492922</v>
      </c>
    </row>
    <row r="163" customFormat="false" ht="15" hidden="false" customHeight="false" outlineLevel="0" collapsed="false">
      <c r="A163" s="6" t="s">
        <v>162</v>
      </c>
      <c r="B163" s="7" t="n">
        <v>0.049037</v>
      </c>
      <c r="C163" s="7" t="n">
        <f aca="false">((1+B163/100)^21-1)*100</f>
        <v>1.03484243492922</v>
      </c>
    </row>
    <row r="164" customFormat="false" ht="15" hidden="false" customHeight="false" outlineLevel="0" collapsed="false">
      <c r="A164" s="6" t="s">
        <v>163</v>
      </c>
      <c r="B164" s="7" t="n">
        <v>0.049037</v>
      </c>
      <c r="C164" s="7" t="n">
        <f aca="false">((1+B164/100)^21-1)*100</f>
        <v>1.03484243492922</v>
      </c>
    </row>
    <row r="165" customFormat="false" ht="15" hidden="false" customHeight="false" outlineLevel="0" collapsed="false">
      <c r="A165" s="6" t="s">
        <v>164</v>
      </c>
      <c r="B165" s="7" t="n">
        <v>0.049037</v>
      </c>
      <c r="C165" s="7" t="n">
        <f aca="false">((1+B165/100)^21-1)*100</f>
        <v>1.03484243492922</v>
      </c>
    </row>
    <row r="166" customFormat="false" ht="15" hidden="false" customHeight="false" outlineLevel="0" collapsed="false">
      <c r="A166" s="6" t="s">
        <v>165</v>
      </c>
      <c r="B166" s="7" t="n">
        <v>0.049037</v>
      </c>
      <c r="C166" s="7" t="n">
        <f aca="false">((1+B166/100)^21-1)*100</f>
        <v>1.03484243492922</v>
      </c>
    </row>
    <row r="167" customFormat="false" ht="15" hidden="false" customHeight="false" outlineLevel="0" collapsed="false">
      <c r="A167" s="6" t="s">
        <v>166</v>
      </c>
      <c r="B167" s="7" t="n">
        <v>0.049037</v>
      </c>
      <c r="C167" s="7" t="n">
        <f aca="false">((1+B167/100)^21-1)*100</f>
        <v>1.03484243492922</v>
      </c>
    </row>
    <row r="168" customFormat="false" ht="15" hidden="false" customHeight="false" outlineLevel="0" collapsed="false">
      <c r="A168" s="6" t="s">
        <v>167</v>
      </c>
      <c r="B168" s="7" t="n">
        <v>0.049037</v>
      </c>
      <c r="C168" s="7" t="n">
        <f aca="false">((1+B168/100)^21-1)*100</f>
        <v>1.03484243492922</v>
      </c>
    </row>
    <row r="169" customFormat="false" ht="15" hidden="false" customHeight="false" outlineLevel="0" collapsed="false">
      <c r="A169" s="6" t="s">
        <v>168</v>
      </c>
      <c r="B169" s="7" t="n">
        <v>0.049037</v>
      </c>
      <c r="C169" s="7" t="n">
        <f aca="false">((1+B169/100)^21-1)*100</f>
        <v>1.03484243492922</v>
      </c>
    </row>
    <row r="170" customFormat="false" ht="15" hidden="false" customHeight="false" outlineLevel="0" collapsed="false">
      <c r="A170" s="6" t="s">
        <v>169</v>
      </c>
      <c r="B170" s="7" t="n">
        <v>0.049037</v>
      </c>
      <c r="C170" s="7" t="n">
        <f aca="false">((1+B170/100)^21-1)*100</f>
        <v>1.03484243492922</v>
      </c>
    </row>
    <row r="171" customFormat="false" ht="15" hidden="false" customHeight="false" outlineLevel="0" collapsed="false">
      <c r="A171" s="6" t="s">
        <v>170</v>
      </c>
      <c r="B171" s="7" t="n">
        <v>0.049037</v>
      </c>
      <c r="C171" s="7" t="n">
        <f aca="false">((1+B171/100)^21-1)*100</f>
        <v>1.03484243492922</v>
      </c>
    </row>
    <row r="172" customFormat="false" ht="15" hidden="false" customHeight="false" outlineLevel="0" collapsed="false">
      <c r="A172" s="6" t="s">
        <v>171</v>
      </c>
      <c r="B172" s="7" t="n">
        <v>0.049037</v>
      </c>
      <c r="C172" s="7" t="n">
        <f aca="false">((1+B172/100)^21-1)*100</f>
        <v>1.03484243492922</v>
      </c>
    </row>
    <row r="173" customFormat="false" ht="15" hidden="false" customHeight="false" outlineLevel="0" collapsed="false">
      <c r="A173" s="6" t="s">
        <v>172</v>
      </c>
      <c r="B173" s="7" t="n">
        <v>0.049037</v>
      </c>
      <c r="C173" s="7" t="n">
        <f aca="false">((1+B173/100)^21-1)*100</f>
        <v>1.03484243492922</v>
      </c>
    </row>
    <row r="174" customFormat="false" ht="15" hidden="false" customHeight="false" outlineLevel="0" collapsed="false">
      <c r="A174" s="6" t="s">
        <v>173</v>
      </c>
      <c r="B174" s="7" t="n">
        <v>0.049037</v>
      </c>
      <c r="C174" s="7" t="n">
        <f aca="false">((1+B174/100)^21-1)*100</f>
        <v>1.03484243492922</v>
      </c>
    </row>
    <row r="175" customFormat="false" ht="15" hidden="false" customHeight="false" outlineLevel="0" collapsed="false">
      <c r="A175" s="6" t="s">
        <v>174</v>
      </c>
      <c r="B175" s="7" t="n">
        <v>0.049037</v>
      </c>
      <c r="C175" s="7" t="n">
        <f aca="false">((1+B175/100)^21-1)*100</f>
        <v>1.03484243492922</v>
      </c>
    </row>
    <row r="176" customFormat="false" ht="15" hidden="false" customHeight="false" outlineLevel="0" collapsed="false">
      <c r="A176" s="6" t="s">
        <v>175</v>
      </c>
      <c r="B176" s="7" t="n">
        <v>0.049037</v>
      </c>
      <c r="C176" s="7" t="n">
        <f aca="false">((1+B176/100)^21-1)*100</f>
        <v>1.03484243492922</v>
      </c>
    </row>
    <row r="177" customFormat="false" ht="15" hidden="false" customHeight="false" outlineLevel="0" collapsed="false">
      <c r="A177" s="6" t="s">
        <v>176</v>
      </c>
      <c r="B177" s="7" t="n">
        <v>0.049037</v>
      </c>
      <c r="C177" s="7" t="n">
        <f aca="false">((1+B177/100)^21-1)*100</f>
        <v>1.03484243492922</v>
      </c>
    </row>
    <row r="178" customFormat="false" ht="15" hidden="false" customHeight="false" outlineLevel="0" collapsed="false">
      <c r="A178" s="6" t="s">
        <v>177</v>
      </c>
      <c r="B178" s="7" t="n">
        <v>0.049037</v>
      </c>
      <c r="C178" s="7" t="n">
        <f aca="false">((1+B178/100)^21-1)*100</f>
        <v>1.03484243492922</v>
      </c>
    </row>
    <row r="179" customFormat="false" ht="15" hidden="false" customHeight="false" outlineLevel="0" collapsed="false">
      <c r="A179" s="6" t="s">
        <v>178</v>
      </c>
      <c r="B179" s="7" t="n">
        <v>0.049037</v>
      </c>
      <c r="C179" s="7" t="n">
        <f aca="false">((1+B179/100)^21-1)*100</f>
        <v>1.03484243492922</v>
      </c>
    </row>
    <row r="180" customFormat="false" ht="15" hidden="false" customHeight="false" outlineLevel="0" collapsed="false">
      <c r="A180" s="6" t="s">
        <v>179</v>
      </c>
      <c r="B180" s="7" t="n">
        <v>0.049037</v>
      </c>
      <c r="C180" s="7" t="n">
        <f aca="false">((1+B180/100)^21-1)*100</f>
        <v>1.03484243492922</v>
      </c>
    </row>
    <row r="181" customFormat="false" ht="15" hidden="false" customHeight="false" outlineLevel="0" collapsed="false">
      <c r="A181" s="6" t="s">
        <v>180</v>
      </c>
      <c r="B181" s="7" t="n">
        <v>0.049037</v>
      </c>
      <c r="C181" s="7" t="n">
        <f aca="false">((1+B181/100)^21-1)*100</f>
        <v>1.03484243492922</v>
      </c>
    </row>
    <row r="182" customFormat="false" ht="15" hidden="false" customHeight="false" outlineLevel="0" collapsed="false">
      <c r="A182" s="6" t="s">
        <v>181</v>
      </c>
      <c r="B182" s="7" t="n">
        <v>0.049037</v>
      </c>
      <c r="C182" s="7" t="n">
        <f aca="false">((1+B182/100)^21-1)*100</f>
        <v>1.03484243492922</v>
      </c>
    </row>
    <row r="183" customFormat="false" ht="15" hidden="false" customHeight="false" outlineLevel="0" collapsed="false">
      <c r="A183" s="6" t="s">
        <v>182</v>
      </c>
      <c r="B183" s="7" t="n">
        <v>0.049037</v>
      </c>
      <c r="C183" s="7" t="n">
        <f aca="false">((1+B183/100)^21-1)*100</f>
        <v>1.03484243492922</v>
      </c>
    </row>
    <row r="184" customFormat="false" ht="15" hidden="false" customHeight="false" outlineLevel="0" collapsed="false">
      <c r="A184" s="6" t="s">
        <v>183</v>
      </c>
      <c r="B184" s="7" t="n">
        <v>0.049037</v>
      </c>
      <c r="C184" s="7" t="n">
        <f aca="false">((1+B184/100)^21-1)*100</f>
        <v>1.03484243492922</v>
      </c>
    </row>
    <row r="185" customFormat="false" ht="15" hidden="false" customHeight="false" outlineLevel="0" collapsed="false">
      <c r="A185" s="6" t="s">
        <v>184</v>
      </c>
      <c r="B185" s="7" t="n">
        <v>0.049037</v>
      </c>
      <c r="C185" s="7" t="n">
        <f aca="false">((1+B185/100)^21-1)*100</f>
        <v>1.03484243492922</v>
      </c>
    </row>
    <row r="186" customFormat="false" ht="15" hidden="false" customHeight="false" outlineLevel="0" collapsed="false">
      <c r="A186" s="6" t="s">
        <v>185</v>
      </c>
      <c r="B186" s="7" t="n">
        <v>0.049037</v>
      </c>
      <c r="C186" s="7" t="n">
        <f aca="false">((1+B186/100)^21-1)*100</f>
        <v>1.03484243492922</v>
      </c>
    </row>
    <row r="187" customFormat="false" ht="15" hidden="false" customHeight="false" outlineLevel="0" collapsed="false">
      <c r="A187" s="6" t="s">
        <v>186</v>
      </c>
      <c r="B187" s="7" t="n">
        <v>0.049037</v>
      </c>
      <c r="C187" s="7" t="n">
        <f aca="false">((1+B187/100)^21-1)*100</f>
        <v>1.03484243492922</v>
      </c>
    </row>
    <row r="188" customFormat="false" ht="15" hidden="false" customHeight="false" outlineLevel="0" collapsed="false">
      <c r="A188" s="6" t="s">
        <v>187</v>
      </c>
      <c r="B188" s="7" t="n">
        <v>0.049037</v>
      </c>
      <c r="C188" s="7" t="n">
        <f aca="false">((1+B188/100)^21-1)*100</f>
        <v>1.03484243492922</v>
      </c>
    </row>
    <row r="189" customFormat="false" ht="15" hidden="false" customHeight="false" outlineLevel="0" collapsed="false">
      <c r="A189" s="6" t="s">
        <v>188</v>
      </c>
      <c r="B189" s="7" t="n">
        <v>0.047279</v>
      </c>
      <c r="C189" s="7" t="n">
        <f aca="false">((1+B189/100)^21-1)*100</f>
        <v>0.997567223848273</v>
      </c>
    </row>
    <row r="190" customFormat="false" ht="15" hidden="false" customHeight="false" outlineLevel="0" collapsed="false">
      <c r="A190" s="6" t="s">
        <v>189</v>
      </c>
      <c r="B190" s="7" t="n">
        <v>0.047279</v>
      </c>
      <c r="C190" s="7" t="n">
        <f aca="false">((1+B190/100)^21-1)*100</f>
        <v>0.997567223848273</v>
      </c>
    </row>
    <row r="191" customFormat="false" ht="15" hidden="false" customHeight="false" outlineLevel="0" collapsed="false">
      <c r="A191" s="6" t="s">
        <v>190</v>
      </c>
      <c r="B191" s="7" t="n">
        <v>0.047279</v>
      </c>
      <c r="C191" s="7" t="n">
        <f aca="false">((1+B191/100)^21-1)*100</f>
        <v>0.997567223848273</v>
      </c>
    </row>
    <row r="192" customFormat="false" ht="15" hidden="false" customHeight="false" outlineLevel="0" collapsed="false">
      <c r="A192" s="6" t="s">
        <v>191</v>
      </c>
      <c r="B192" s="7" t="n">
        <v>0.047279</v>
      </c>
      <c r="C192" s="7" t="n">
        <f aca="false">((1+B192/100)^21-1)*100</f>
        <v>0.997567223848273</v>
      </c>
    </row>
    <row r="193" customFormat="false" ht="15" hidden="false" customHeight="false" outlineLevel="0" collapsed="false">
      <c r="A193" s="6" t="s">
        <v>192</v>
      </c>
      <c r="B193" s="7" t="n">
        <v>0.047279</v>
      </c>
      <c r="C193" s="7" t="n">
        <f aca="false">((1+B193/100)^21-1)*100</f>
        <v>0.997567223848273</v>
      </c>
    </row>
    <row r="194" customFormat="false" ht="15" hidden="false" customHeight="false" outlineLevel="0" collapsed="false">
      <c r="A194" s="6" t="s">
        <v>193</v>
      </c>
      <c r="B194" s="7" t="n">
        <v>0.047279</v>
      </c>
      <c r="C194" s="7" t="n">
        <f aca="false">((1+B194/100)^21-1)*100</f>
        <v>0.997567223848273</v>
      </c>
    </row>
    <row r="195" customFormat="false" ht="15" hidden="false" customHeight="false" outlineLevel="0" collapsed="false">
      <c r="A195" s="6" t="s">
        <v>194</v>
      </c>
      <c r="B195" s="7" t="n">
        <v>0.047279</v>
      </c>
      <c r="C195" s="7" t="n">
        <f aca="false">((1+B195/100)^21-1)*100</f>
        <v>0.997567223848273</v>
      </c>
    </row>
    <row r="196" customFormat="false" ht="15" hidden="false" customHeight="false" outlineLevel="0" collapsed="false">
      <c r="A196" s="6" t="s">
        <v>195</v>
      </c>
      <c r="B196" s="7" t="n">
        <v>0.047279</v>
      </c>
      <c r="C196" s="7" t="n">
        <f aca="false">((1+B196/100)^21-1)*100</f>
        <v>0.997567223848273</v>
      </c>
    </row>
    <row r="197" customFormat="false" ht="15" hidden="false" customHeight="false" outlineLevel="0" collapsed="false">
      <c r="A197" s="6" t="s">
        <v>196</v>
      </c>
      <c r="B197" s="7" t="n">
        <v>0.047279</v>
      </c>
      <c r="C197" s="7" t="n">
        <f aca="false">((1+B197/100)^21-1)*100</f>
        <v>0.997567223848273</v>
      </c>
    </row>
    <row r="198" customFormat="false" ht="15" hidden="false" customHeight="false" outlineLevel="0" collapsed="false">
      <c r="A198" s="6" t="s">
        <v>197</v>
      </c>
      <c r="B198" s="7" t="n">
        <v>0.047279</v>
      </c>
      <c r="C198" s="7" t="n">
        <f aca="false">((1+B198/100)^21-1)*100</f>
        <v>0.997567223848273</v>
      </c>
    </row>
    <row r="199" customFormat="false" ht="15" hidden="false" customHeight="false" outlineLevel="0" collapsed="false">
      <c r="A199" s="6" t="s">
        <v>198</v>
      </c>
      <c r="B199" s="7" t="n">
        <v>0.047279</v>
      </c>
      <c r="C199" s="7" t="n">
        <f aca="false">((1+B199/100)^21-1)*100</f>
        <v>0.997567223848273</v>
      </c>
    </row>
    <row r="200" customFormat="false" ht="15" hidden="false" customHeight="false" outlineLevel="0" collapsed="false">
      <c r="A200" s="6" t="s">
        <v>199</v>
      </c>
      <c r="B200" s="7" t="n">
        <v>0.047279</v>
      </c>
      <c r="C200" s="7" t="n">
        <f aca="false">((1+B200/100)^21-1)*100</f>
        <v>0.997567223848273</v>
      </c>
    </row>
    <row r="201" customFormat="false" ht="15" hidden="false" customHeight="false" outlineLevel="0" collapsed="false">
      <c r="A201" s="6" t="s">
        <v>200</v>
      </c>
      <c r="B201" s="7" t="n">
        <v>0.047279</v>
      </c>
      <c r="C201" s="7" t="n">
        <f aca="false">((1+B201/100)^21-1)*100</f>
        <v>0.997567223848273</v>
      </c>
    </row>
    <row r="202" customFormat="false" ht="15" hidden="false" customHeight="false" outlineLevel="0" collapsed="false">
      <c r="A202" s="6" t="s">
        <v>201</v>
      </c>
      <c r="B202" s="7" t="n">
        <v>0.047279</v>
      </c>
      <c r="C202" s="7" t="n">
        <f aca="false">((1+B202/100)^21-1)*100</f>
        <v>0.997567223848273</v>
      </c>
    </row>
    <row r="203" customFormat="false" ht="15" hidden="false" customHeight="false" outlineLevel="0" collapsed="false">
      <c r="A203" s="6" t="s">
        <v>202</v>
      </c>
      <c r="B203" s="7" t="n">
        <v>0.047279</v>
      </c>
      <c r="C203" s="7" t="n">
        <f aca="false">((1+B203/100)^21-1)*100</f>
        <v>0.997567223848273</v>
      </c>
    </row>
    <row r="204" customFormat="false" ht="15" hidden="false" customHeight="false" outlineLevel="0" collapsed="false">
      <c r="A204" s="6" t="s">
        <v>203</v>
      </c>
      <c r="B204" s="7" t="n">
        <v>0.047279</v>
      </c>
      <c r="C204" s="7" t="n">
        <f aca="false">((1+B204/100)^21-1)*100</f>
        <v>0.997567223848273</v>
      </c>
    </row>
    <row r="205" customFormat="false" ht="15" hidden="false" customHeight="false" outlineLevel="0" collapsed="false">
      <c r="A205" s="6" t="s">
        <v>204</v>
      </c>
      <c r="B205" s="7" t="n">
        <v>0.047279</v>
      </c>
      <c r="C205" s="7" t="n">
        <f aca="false">((1+B205/100)^21-1)*100</f>
        <v>0.997567223848273</v>
      </c>
    </row>
    <row r="206" customFormat="false" ht="15" hidden="false" customHeight="false" outlineLevel="0" collapsed="false">
      <c r="A206" s="6" t="s">
        <v>205</v>
      </c>
      <c r="B206" s="7" t="n">
        <v>0.047279</v>
      </c>
      <c r="C206" s="7" t="n">
        <f aca="false">((1+B206/100)^21-1)*100</f>
        <v>0.997567223848273</v>
      </c>
    </row>
    <row r="207" customFormat="false" ht="15" hidden="false" customHeight="false" outlineLevel="0" collapsed="false">
      <c r="A207" s="6" t="s">
        <v>206</v>
      </c>
      <c r="B207" s="7" t="n">
        <v>0.047279</v>
      </c>
      <c r="C207" s="7" t="n">
        <f aca="false">((1+B207/100)^21-1)*100</f>
        <v>0.997567223848273</v>
      </c>
    </row>
    <row r="208" customFormat="false" ht="15" hidden="false" customHeight="false" outlineLevel="0" collapsed="false">
      <c r="A208" s="6" t="s">
        <v>207</v>
      </c>
      <c r="B208" s="7" t="n">
        <v>0.047279</v>
      </c>
      <c r="C208" s="7" t="n">
        <f aca="false">((1+B208/100)^21-1)*100</f>
        <v>0.997567223848273</v>
      </c>
    </row>
    <row r="209" customFormat="false" ht="15" hidden="false" customHeight="false" outlineLevel="0" collapsed="false">
      <c r="A209" s="6" t="s">
        <v>208</v>
      </c>
      <c r="B209" s="7" t="n">
        <v>0.047279</v>
      </c>
      <c r="C209" s="7" t="n">
        <f aca="false">((1+B209/100)^21-1)*100</f>
        <v>0.997567223848273</v>
      </c>
    </row>
    <row r="210" customFormat="false" ht="15" hidden="false" customHeight="false" outlineLevel="0" collapsed="false">
      <c r="A210" s="6" t="s">
        <v>209</v>
      </c>
      <c r="B210" s="7" t="n">
        <v>0.047279</v>
      </c>
      <c r="C210" s="7" t="n">
        <f aca="false">((1+B210/100)^21-1)*100</f>
        <v>0.997567223848273</v>
      </c>
    </row>
    <row r="211" customFormat="false" ht="15" hidden="false" customHeight="false" outlineLevel="0" collapsed="false">
      <c r="A211" s="6" t="s">
        <v>210</v>
      </c>
      <c r="B211" s="7" t="n">
        <v>0.047279</v>
      </c>
      <c r="C211" s="7" t="n">
        <f aca="false">((1+B211/100)^21-1)*100</f>
        <v>0.997567223848273</v>
      </c>
    </row>
    <row r="212" customFormat="false" ht="15" hidden="false" customHeight="false" outlineLevel="0" collapsed="false">
      <c r="A212" s="6" t="s">
        <v>211</v>
      </c>
      <c r="B212" s="7" t="n">
        <v>0.047279</v>
      </c>
      <c r="C212" s="7" t="n">
        <f aca="false">((1+B212/100)^21-1)*100</f>
        <v>0.997567223848273</v>
      </c>
    </row>
    <row r="213" customFormat="false" ht="15" hidden="false" customHeight="false" outlineLevel="0" collapsed="false">
      <c r="A213" s="6" t="s">
        <v>212</v>
      </c>
      <c r="B213" s="7" t="n">
        <v>0.047279</v>
      </c>
      <c r="C213" s="7" t="n">
        <f aca="false">((1+B213/100)^21-1)*100</f>
        <v>0.997567223848273</v>
      </c>
    </row>
    <row r="214" customFormat="false" ht="15" hidden="false" customHeight="false" outlineLevel="0" collapsed="false">
      <c r="A214" s="6" t="s">
        <v>213</v>
      </c>
      <c r="B214" s="7" t="n">
        <v>0.047279</v>
      </c>
      <c r="C214" s="7" t="n">
        <f aca="false">((1+B214/100)^21-1)*100</f>
        <v>0.997567223848273</v>
      </c>
    </row>
    <row r="215" customFormat="false" ht="15" hidden="false" customHeight="false" outlineLevel="0" collapsed="false">
      <c r="A215" s="6" t="s">
        <v>214</v>
      </c>
      <c r="B215" s="7" t="n">
        <v>0.047279</v>
      </c>
      <c r="C215" s="7" t="n">
        <f aca="false">((1+B215/100)^21-1)*100</f>
        <v>0.997567223848273</v>
      </c>
    </row>
    <row r="216" customFormat="false" ht="15" hidden="false" customHeight="false" outlineLevel="0" collapsed="false">
      <c r="A216" s="6" t="s">
        <v>215</v>
      </c>
      <c r="B216" s="7" t="n">
        <v>0.047279</v>
      </c>
      <c r="C216" s="7" t="n">
        <f aca="false">((1+B216/100)^21-1)*100</f>
        <v>0.997567223848273</v>
      </c>
    </row>
    <row r="217" customFormat="false" ht="15" hidden="false" customHeight="false" outlineLevel="0" collapsed="false">
      <c r="A217" s="6" t="s">
        <v>216</v>
      </c>
      <c r="B217" s="7" t="n">
        <v>0.047279</v>
      </c>
      <c r="C217" s="7" t="n">
        <f aca="false">((1+B217/100)^21-1)*100</f>
        <v>0.997567223848273</v>
      </c>
    </row>
    <row r="218" customFormat="false" ht="15" hidden="false" customHeight="false" outlineLevel="0" collapsed="false">
      <c r="A218" s="6" t="s">
        <v>217</v>
      </c>
      <c r="B218" s="7" t="n">
        <v>0.045513</v>
      </c>
      <c r="C218" s="7" t="n">
        <f aca="false">((1+B218/100)^21-1)*100</f>
        <v>0.9601355742346</v>
      </c>
    </row>
    <row r="219" customFormat="false" ht="15" hidden="false" customHeight="false" outlineLevel="0" collapsed="false">
      <c r="A219" s="6" t="s">
        <v>218</v>
      </c>
      <c r="B219" s="7" t="n">
        <v>0.045513</v>
      </c>
      <c r="C219" s="7" t="n">
        <f aca="false">((1+B219/100)^21-1)*100</f>
        <v>0.9601355742346</v>
      </c>
    </row>
    <row r="220" customFormat="false" ht="15" hidden="false" customHeight="false" outlineLevel="0" collapsed="false">
      <c r="A220" s="6" t="s">
        <v>219</v>
      </c>
      <c r="B220" s="7" t="n">
        <v>0.045513</v>
      </c>
      <c r="C220" s="7" t="n">
        <f aca="false">((1+B220/100)^21-1)*100</f>
        <v>0.9601355742346</v>
      </c>
    </row>
    <row r="221" customFormat="false" ht="15" hidden="false" customHeight="false" outlineLevel="0" collapsed="false">
      <c r="A221" s="6" t="s">
        <v>220</v>
      </c>
      <c r="B221" s="7" t="n">
        <v>0.045513</v>
      </c>
      <c r="C221" s="7" t="n">
        <f aca="false">((1+B221/100)^21-1)*100</f>
        <v>0.9601355742346</v>
      </c>
    </row>
    <row r="222" customFormat="false" ht="15" hidden="false" customHeight="false" outlineLevel="0" collapsed="false">
      <c r="A222" s="6" t="s">
        <v>221</v>
      </c>
      <c r="B222" s="7" t="n">
        <v>0.045513</v>
      </c>
      <c r="C222" s="7" t="n">
        <f aca="false">((1+B222/100)^21-1)*100</f>
        <v>0.9601355742346</v>
      </c>
    </row>
    <row r="223" customFormat="false" ht="15" hidden="false" customHeight="false" outlineLevel="0" collapsed="false">
      <c r="A223" s="6" t="s">
        <v>222</v>
      </c>
      <c r="B223" s="7" t="n">
        <v>0.045513</v>
      </c>
      <c r="C223" s="7" t="n">
        <f aca="false">((1+B223/100)^21-1)*100</f>
        <v>0.9601355742346</v>
      </c>
    </row>
    <row r="224" customFormat="false" ht="15" hidden="false" customHeight="false" outlineLevel="0" collapsed="false">
      <c r="A224" s="6" t="s">
        <v>223</v>
      </c>
      <c r="B224" s="7" t="n">
        <v>0.045513</v>
      </c>
      <c r="C224" s="7" t="n">
        <f aca="false">((1+B224/100)^21-1)*100</f>
        <v>0.9601355742346</v>
      </c>
    </row>
    <row r="225" customFormat="false" ht="15" hidden="false" customHeight="false" outlineLevel="0" collapsed="false">
      <c r="A225" s="6" t="s">
        <v>224</v>
      </c>
      <c r="B225" s="7" t="n">
        <v>0.045513</v>
      </c>
      <c r="C225" s="7" t="n">
        <f aca="false">((1+B225/100)^21-1)*100</f>
        <v>0.9601355742346</v>
      </c>
    </row>
    <row r="226" customFormat="false" ht="15" hidden="false" customHeight="false" outlineLevel="0" collapsed="false">
      <c r="A226" s="6" t="s">
        <v>225</v>
      </c>
      <c r="B226" s="7" t="n">
        <v>0.045513</v>
      </c>
      <c r="C226" s="7" t="n">
        <f aca="false">((1+B226/100)^21-1)*100</f>
        <v>0.9601355742346</v>
      </c>
    </row>
    <row r="227" customFormat="false" ht="15" hidden="false" customHeight="false" outlineLevel="0" collapsed="false">
      <c r="A227" s="6" t="s">
        <v>226</v>
      </c>
      <c r="B227" s="7" t="n">
        <v>0.045513</v>
      </c>
      <c r="C227" s="7" t="n">
        <f aca="false">((1+B227/100)^21-1)*100</f>
        <v>0.9601355742346</v>
      </c>
    </row>
    <row r="228" customFormat="false" ht="15" hidden="false" customHeight="false" outlineLevel="0" collapsed="false">
      <c r="A228" s="6" t="s">
        <v>227</v>
      </c>
      <c r="B228" s="7" t="n">
        <v>0.045513</v>
      </c>
      <c r="C228" s="7" t="n">
        <f aca="false">((1+B228/100)^21-1)*100</f>
        <v>0.9601355742346</v>
      </c>
    </row>
    <row r="229" customFormat="false" ht="15" hidden="false" customHeight="false" outlineLevel="0" collapsed="false">
      <c r="A229" s="6" t="s">
        <v>228</v>
      </c>
      <c r="B229" s="7" t="n">
        <v>0.045513</v>
      </c>
      <c r="C229" s="7" t="n">
        <f aca="false">((1+B229/100)^21-1)*100</f>
        <v>0.9601355742346</v>
      </c>
    </row>
    <row r="230" customFormat="false" ht="15" hidden="false" customHeight="false" outlineLevel="0" collapsed="false">
      <c r="A230" s="6" t="s">
        <v>229</v>
      </c>
      <c r="B230" s="7" t="n">
        <v>0.045513</v>
      </c>
      <c r="C230" s="7" t="n">
        <f aca="false">((1+B230/100)^21-1)*100</f>
        <v>0.9601355742346</v>
      </c>
    </row>
    <row r="231" customFormat="false" ht="15" hidden="false" customHeight="false" outlineLevel="0" collapsed="false">
      <c r="A231" s="6" t="s">
        <v>230</v>
      </c>
      <c r="B231" s="7" t="n">
        <v>0.045513</v>
      </c>
      <c r="C231" s="7" t="n">
        <f aca="false">((1+B231/100)^21-1)*100</f>
        <v>0.9601355742346</v>
      </c>
    </row>
    <row r="232" customFormat="false" ht="15" hidden="false" customHeight="false" outlineLevel="0" collapsed="false">
      <c r="A232" s="6" t="s">
        <v>231</v>
      </c>
      <c r="B232" s="7" t="n">
        <v>0.045513</v>
      </c>
      <c r="C232" s="7" t="n">
        <f aca="false">((1+B232/100)^21-1)*100</f>
        <v>0.9601355742346</v>
      </c>
    </row>
    <row r="233" customFormat="false" ht="15" hidden="false" customHeight="false" outlineLevel="0" collapsed="false">
      <c r="A233" s="6" t="s">
        <v>232</v>
      </c>
      <c r="B233" s="7" t="n">
        <v>0.045513</v>
      </c>
      <c r="C233" s="7" t="n">
        <f aca="false">((1+B233/100)^21-1)*100</f>
        <v>0.9601355742346</v>
      </c>
    </row>
    <row r="234" customFormat="false" ht="15" hidden="false" customHeight="false" outlineLevel="0" collapsed="false">
      <c r="A234" s="6" t="s">
        <v>233</v>
      </c>
      <c r="B234" s="7" t="n">
        <v>0.045513</v>
      </c>
      <c r="C234" s="7" t="n">
        <f aca="false">((1+B234/100)^21-1)*100</f>
        <v>0.9601355742346</v>
      </c>
    </row>
    <row r="235" customFormat="false" ht="15" hidden="false" customHeight="false" outlineLevel="0" collapsed="false">
      <c r="A235" s="6" t="s">
        <v>234</v>
      </c>
      <c r="B235" s="7" t="n">
        <v>0.045513</v>
      </c>
      <c r="C235" s="7" t="n">
        <f aca="false">((1+B235/100)^21-1)*100</f>
        <v>0.9601355742346</v>
      </c>
    </row>
    <row r="236" customFormat="false" ht="15" hidden="false" customHeight="false" outlineLevel="0" collapsed="false">
      <c r="A236" s="6" t="s">
        <v>235</v>
      </c>
      <c r="B236" s="7" t="n">
        <v>0.045513</v>
      </c>
      <c r="C236" s="7" t="n">
        <f aca="false">((1+B236/100)^21-1)*100</f>
        <v>0.9601355742346</v>
      </c>
    </row>
    <row r="237" customFormat="false" ht="15" hidden="false" customHeight="false" outlineLevel="0" collapsed="false">
      <c r="A237" s="6" t="s">
        <v>236</v>
      </c>
      <c r="B237" s="7" t="n">
        <v>0.045513</v>
      </c>
      <c r="C237" s="7" t="n">
        <f aca="false">((1+B237/100)^21-1)*100</f>
        <v>0.9601355742346</v>
      </c>
    </row>
    <row r="238" customFormat="false" ht="15" hidden="false" customHeight="false" outlineLevel="0" collapsed="false">
      <c r="A238" s="6" t="s">
        <v>237</v>
      </c>
      <c r="B238" s="7" t="n">
        <v>0.045513</v>
      </c>
      <c r="C238" s="7" t="n">
        <f aca="false">((1+B238/100)^21-1)*100</f>
        <v>0.9601355742346</v>
      </c>
    </row>
    <row r="239" customFormat="false" ht="15" hidden="false" customHeight="false" outlineLevel="0" collapsed="false">
      <c r="A239" s="6" t="s">
        <v>238</v>
      </c>
      <c r="B239" s="7" t="n">
        <v>0.045513</v>
      </c>
      <c r="C239" s="7" t="n">
        <f aca="false">((1+B239/100)^21-1)*100</f>
        <v>0.9601355742346</v>
      </c>
    </row>
    <row r="240" customFormat="false" ht="15" hidden="false" customHeight="false" outlineLevel="0" collapsed="false">
      <c r="A240" s="6" t="s">
        <v>239</v>
      </c>
      <c r="B240" s="7" t="n">
        <v>0.045513</v>
      </c>
      <c r="C240" s="7" t="n">
        <f aca="false">((1+B240/100)^21-1)*100</f>
        <v>0.9601355742346</v>
      </c>
    </row>
    <row r="241" customFormat="false" ht="15" hidden="false" customHeight="false" outlineLevel="0" collapsed="false">
      <c r="A241" s="6" t="s">
        <v>240</v>
      </c>
      <c r="B241" s="7" t="n">
        <v>0.045513</v>
      </c>
      <c r="C241" s="7" t="n">
        <f aca="false">((1+B241/100)^21-1)*100</f>
        <v>0.9601355742346</v>
      </c>
    </row>
    <row r="242" customFormat="false" ht="15" hidden="false" customHeight="false" outlineLevel="0" collapsed="false">
      <c r="A242" s="6" t="s">
        <v>241</v>
      </c>
      <c r="B242" s="7" t="n">
        <v>0.045513</v>
      </c>
      <c r="C242" s="7" t="n">
        <f aca="false">((1+B242/100)^21-1)*100</f>
        <v>0.9601355742346</v>
      </c>
    </row>
    <row r="243" customFormat="false" ht="15" hidden="false" customHeight="false" outlineLevel="0" collapsed="false">
      <c r="A243" s="6" t="s">
        <v>242</v>
      </c>
      <c r="B243" s="7" t="n">
        <v>0.045513</v>
      </c>
      <c r="C243" s="7" t="n">
        <f aca="false">((1+B243/100)^21-1)*100</f>
        <v>0.9601355742346</v>
      </c>
    </row>
    <row r="244" customFormat="false" ht="15" hidden="false" customHeight="false" outlineLevel="0" collapsed="false">
      <c r="A244" s="6" t="s">
        <v>243</v>
      </c>
      <c r="B244" s="7" t="n">
        <v>0.045513</v>
      </c>
      <c r="C244" s="7" t="n">
        <f aca="false">((1+B244/100)^21-1)*100</f>
        <v>0.9601355742346</v>
      </c>
    </row>
    <row r="245" customFormat="false" ht="15" hidden="false" customHeight="false" outlineLevel="0" collapsed="false">
      <c r="A245" s="6" t="s">
        <v>244</v>
      </c>
      <c r="B245" s="7" t="n">
        <v>0.045513</v>
      </c>
      <c r="C245" s="7" t="n">
        <f aca="false">((1+B245/100)^21-1)*100</f>
        <v>0.9601355742346</v>
      </c>
    </row>
    <row r="246" customFormat="false" ht="15" hidden="false" customHeight="false" outlineLevel="0" collapsed="false">
      <c r="A246" s="6" t="s">
        <v>245</v>
      </c>
      <c r="B246" s="7" t="n">
        <v>0.043739</v>
      </c>
      <c r="C246" s="7" t="n">
        <f aca="false">((1+B246/100)^21-1)*100</f>
        <v>0.922547661244177</v>
      </c>
    </row>
    <row r="247" customFormat="false" ht="15" hidden="false" customHeight="false" outlineLevel="0" collapsed="false">
      <c r="A247" s="6" t="s">
        <v>246</v>
      </c>
      <c r="B247" s="7" t="n">
        <v>0.043739</v>
      </c>
      <c r="C247" s="7" t="n">
        <f aca="false">((1+B247/100)^21-1)*100</f>
        <v>0.922547661244177</v>
      </c>
    </row>
    <row r="248" customFormat="false" ht="15" hidden="false" customHeight="false" outlineLevel="0" collapsed="false">
      <c r="A248" s="6" t="s">
        <v>247</v>
      </c>
      <c r="B248" s="7" t="n">
        <v>0.043739</v>
      </c>
      <c r="C248" s="7" t="n">
        <f aca="false">((1+B248/100)^21-1)*100</f>
        <v>0.922547661244177</v>
      </c>
    </row>
    <row r="249" customFormat="false" ht="15" hidden="false" customHeight="false" outlineLevel="0" collapsed="false">
      <c r="A249" s="6" t="s">
        <v>248</v>
      </c>
      <c r="B249" s="7" t="n">
        <v>0.043739</v>
      </c>
      <c r="C249" s="7" t="n">
        <f aca="false">((1+B249/100)^21-1)*100</f>
        <v>0.922547661244177</v>
      </c>
    </row>
    <row r="250" customFormat="false" ht="15" hidden="false" customHeight="false" outlineLevel="0" collapsed="false">
      <c r="A250" s="6" t="s">
        <v>249</v>
      </c>
      <c r="B250" s="7" t="n">
        <v>0.043739</v>
      </c>
      <c r="C250" s="7" t="n">
        <f aca="false">((1+B250/100)^21-1)*100</f>
        <v>0.922547661244177</v>
      </c>
    </row>
    <row r="251" customFormat="false" ht="15" hidden="false" customHeight="false" outlineLevel="0" collapsed="false">
      <c r="A251" s="6" t="s">
        <v>250</v>
      </c>
      <c r="B251" s="7" t="n">
        <v>0.043739</v>
      </c>
      <c r="C251" s="7" t="n">
        <f aca="false">((1+B251/100)^21-1)*100</f>
        <v>0.922547661244177</v>
      </c>
    </row>
    <row r="252" customFormat="false" ht="15" hidden="false" customHeight="false" outlineLevel="0" collapsed="false">
      <c r="A252" s="6" t="s">
        <v>251</v>
      </c>
      <c r="B252" s="7" t="n">
        <v>0.043739</v>
      </c>
      <c r="C252" s="7" t="n">
        <f aca="false">((1+B252/100)^21-1)*100</f>
        <v>0.922547661244177</v>
      </c>
    </row>
    <row r="253" customFormat="false" ht="15" hidden="false" customHeight="false" outlineLevel="0" collapsed="false">
      <c r="A253" s="6" t="s">
        <v>252</v>
      </c>
      <c r="B253" s="7" t="n">
        <v>0.043739</v>
      </c>
      <c r="C253" s="7" t="n">
        <f aca="false">((1+B253/100)^21-1)*100</f>
        <v>0.922547661244177</v>
      </c>
    </row>
    <row r="254" customFormat="false" ht="15" hidden="false" customHeight="false" outlineLevel="0" collapsed="false">
      <c r="A254" s="6" t="s">
        <v>253</v>
      </c>
      <c r="B254" s="7" t="n">
        <v>0.043739</v>
      </c>
      <c r="C254" s="7" t="n">
        <f aca="false">((1+B254/100)^21-1)*100</f>
        <v>0.922547661244177</v>
      </c>
    </row>
    <row r="255" customFormat="false" ht="15" hidden="false" customHeight="false" outlineLevel="0" collapsed="false">
      <c r="A255" s="6" t="s">
        <v>254</v>
      </c>
      <c r="B255" s="7" t="n">
        <v>0.043739</v>
      </c>
      <c r="C255" s="7" t="n">
        <f aca="false">((1+B255/100)^21-1)*100</f>
        <v>0.922547661244177</v>
      </c>
    </row>
    <row r="256" customFormat="false" ht="15" hidden="false" customHeight="false" outlineLevel="0" collapsed="false">
      <c r="A256" s="6" t="s">
        <v>255</v>
      </c>
      <c r="B256" s="7" t="n">
        <v>0.043739</v>
      </c>
      <c r="C256" s="7" t="n">
        <f aca="false">((1+B256/100)^21-1)*100</f>
        <v>0.922547661244177</v>
      </c>
    </row>
    <row r="257" customFormat="false" ht="15" hidden="false" customHeight="false" outlineLevel="0" collapsed="false">
      <c r="A257" s="6" t="s">
        <v>256</v>
      </c>
      <c r="B257" s="7" t="n">
        <v>0.043739</v>
      </c>
      <c r="C257" s="7" t="n">
        <f aca="false">((1+B257/100)^21-1)*100</f>
        <v>0.922547661244177</v>
      </c>
    </row>
    <row r="258" customFormat="false" ht="15" hidden="false" customHeight="false" outlineLevel="0" collapsed="false">
      <c r="A258" s="6" t="s">
        <v>257</v>
      </c>
      <c r="B258" s="7" t="n">
        <v>0.043739</v>
      </c>
      <c r="C258" s="7" t="n">
        <f aca="false">((1+B258/100)^21-1)*100</f>
        <v>0.922547661244177</v>
      </c>
    </row>
    <row r="259" customFormat="false" ht="15" hidden="false" customHeight="false" outlineLevel="0" collapsed="false">
      <c r="A259" s="6" t="s">
        <v>258</v>
      </c>
      <c r="B259" s="7" t="n">
        <v>0.043739</v>
      </c>
      <c r="C259" s="7" t="n">
        <f aca="false">((1+B259/100)^21-1)*100</f>
        <v>0.922547661244177</v>
      </c>
    </row>
    <row r="260" customFormat="false" ht="15" hidden="false" customHeight="false" outlineLevel="0" collapsed="false">
      <c r="A260" s="6" t="s">
        <v>259</v>
      </c>
      <c r="B260" s="7" t="n">
        <v>0.043739</v>
      </c>
      <c r="C260" s="7" t="n">
        <f aca="false">((1+B260/100)^21-1)*100</f>
        <v>0.922547661244177</v>
      </c>
    </row>
    <row r="261" customFormat="false" ht="15" hidden="false" customHeight="false" outlineLevel="0" collapsed="false">
      <c r="A261" s="6" t="s">
        <v>260</v>
      </c>
      <c r="B261" s="7" t="n">
        <v>0.043739</v>
      </c>
      <c r="C261" s="7" t="n">
        <f aca="false">((1+B261/100)^21-1)*100</f>
        <v>0.922547661244177</v>
      </c>
    </row>
    <row r="262" customFormat="false" ht="15" hidden="false" customHeight="false" outlineLevel="0" collapsed="false">
      <c r="A262" s="6" t="s">
        <v>261</v>
      </c>
      <c r="B262" s="7" t="n">
        <v>0.043739</v>
      </c>
      <c r="C262" s="7" t="n">
        <f aca="false">((1+B262/100)^21-1)*100</f>
        <v>0.922547661244177</v>
      </c>
    </row>
    <row r="263" customFormat="false" ht="15" hidden="false" customHeight="false" outlineLevel="0" collapsed="false">
      <c r="A263" s="6" t="s">
        <v>262</v>
      </c>
      <c r="B263" s="7" t="n">
        <v>0.043739</v>
      </c>
      <c r="C263" s="7" t="n">
        <f aca="false">((1+B263/100)^21-1)*100</f>
        <v>0.922547661244177</v>
      </c>
    </row>
    <row r="264" customFormat="false" ht="15" hidden="false" customHeight="false" outlineLevel="0" collapsed="false">
      <c r="A264" s="6" t="s">
        <v>263</v>
      </c>
      <c r="B264" s="7" t="n">
        <v>0.043739</v>
      </c>
      <c r="C264" s="7" t="n">
        <f aca="false">((1+B264/100)^21-1)*100</f>
        <v>0.922547661244177</v>
      </c>
    </row>
    <row r="265" customFormat="false" ht="15" hidden="false" customHeight="false" outlineLevel="0" collapsed="false">
      <c r="A265" s="6" t="s">
        <v>264</v>
      </c>
      <c r="B265" s="7" t="n">
        <v>0.043739</v>
      </c>
      <c r="C265" s="7" t="n">
        <f aca="false">((1+B265/100)^21-1)*100</f>
        <v>0.922547661244177</v>
      </c>
    </row>
    <row r="266" customFormat="false" ht="15" hidden="false" customHeight="false" outlineLevel="0" collapsed="false">
      <c r="A266" s="6" t="s">
        <v>265</v>
      </c>
      <c r="B266" s="7" t="n">
        <v>0.043739</v>
      </c>
      <c r="C266" s="7" t="n">
        <f aca="false">((1+B266/100)^21-1)*100</f>
        <v>0.922547661244177</v>
      </c>
    </row>
    <row r="267" customFormat="false" ht="15" hidden="false" customHeight="false" outlineLevel="0" collapsed="false">
      <c r="A267" s="6" t="s">
        <v>266</v>
      </c>
      <c r="B267" s="7" t="n">
        <v>0.043739</v>
      </c>
      <c r="C267" s="7" t="n">
        <f aca="false">((1+B267/100)^21-1)*100</f>
        <v>0.922547661244177</v>
      </c>
    </row>
    <row r="268" customFormat="false" ht="15" hidden="false" customHeight="false" outlineLevel="0" collapsed="false">
      <c r="A268" s="6" t="s">
        <v>267</v>
      </c>
      <c r="B268" s="7" t="n">
        <v>0.043739</v>
      </c>
      <c r="C268" s="7" t="n">
        <f aca="false">((1+B268/100)^21-1)*100</f>
        <v>0.922547661244177</v>
      </c>
    </row>
    <row r="269" customFormat="false" ht="15" hidden="false" customHeight="false" outlineLevel="0" collapsed="false">
      <c r="A269" s="6" t="s">
        <v>268</v>
      </c>
      <c r="B269" s="7" t="n">
        <v>0.043739</v>
      </c>
      <c r="C269" s="7" t="n">
        <f aca="false">((1+B269/100)^21-1)*100</f>
        <v>0.922547661244177</v>
      </c>
    </row>
    <row r="270" customFormat="false" ht="15" hidden="false" customHeight="false" outlineLevel="0" collapsed="false">
      <c r="A270" s="6" t="s">
        <v>269</v>
      </c>
      <c r="B270" s="7" t="n">
        <v>0.043739</v>
      </c>
      <c r="C270" s="7" t="n">
        <f aca="false">((1+B270/100)^21-1)*100</f>
        <v>0.922547661244177</v>
      </c>
    </row>
    <row r="271" customFormat="false" ht="15" hidden="false" customHeight="false" outlineLevel="0" collapsed="false">
      <c r="A271" s="6" t="s">
        <v>270</v>
      </c>
      <c r="B271" s="7" t="n">
        <v>0.043739</v>
      </c>
      <c r="C271" s="7" t="n">
        <f aca="false">((1+B271/100)^21-1)*100</f>
        <v>0.922547661244177</v>
      </c>
    </row>
    <row r="272" customFormat="false" ht="15" hidden="false" customHeight="false" outlineLevel="0" collapsed="false">
      <c r="A272" s="6" t="s">
        <v>271</v>
      </c>
      <c r="B272" s="7" t="n">
        <v>0.043739</v>
      </c>
      <c r="C272" s="7" t="n">
        <f aca="false">((1+B272/100)^21-1)*100</f>
        <v>0.922547661244177</v>
      </c>
    </row>
    <row r="273" customFormat="false" ht="15" hidden="false" customHeight="false" outlineLevel="0" collapsed="false">
      <c r="A273" s="6" t="s">
        <v>272</v>
      </c>
      <c r="B273" s="7" t="n">
        <v>0.043739</v>
      </c>
      <c r="C273" s="7" t="n">
        <f aca="false">((1+B273/100)^21-1)*100</f>
        <v>0.922547661244177</v>
      </c>
    </row>
    <row r="274" customFormat="false" ht="15" hidden="false" customHeight="false" outlineLevel="0" collapsed="false">
      <c r="A274" s="6" t="s">
        <v>273</v>
      </c>
      <c r="B274" s="7" t="n">
        <v>0.043739</v>
      </c>
      <c r="C274" s="7" t="n">
        <f aca="false">((1+B274/100)^21-1)*100</f>
        <v>0.922547661244177</v>
      </c>
    </row>
    <row r="275" customFormat="false" ht="15" hidden="false" customHeight="false" outlineLevel="0" collapsed="false">
      <c r="A275" s="6" t="s">
        <v>274</v>
      </c>
      <c r="B275" s="7" t="n">
        <v>0.043739</v>
      </c>
      <c r="C275" s="7" t="n">
        <f aca="false">((1+B275/100)^21-1)*100</f>
        <v>0.922547661244177</v>
      </c>
    </row>
    <row r="276" customFormat="false" ht="15" hidden="false" customHeight="false" outlineLevel="0" collapsed="false">
      <c r="A276" s="6" t="s">
        <v>275</v>
      </c>
      <c r="B276" s="7" t="n">
        <v>0.043739</v>
      </c>
      <c r="C276" s="7" t="n">
        <f aca="false">((1+B276/100)^21-1)*100</f>
        <v>0.922547661244177</v>
      </c>
    </row>
    <row r="277" customFormat="false" ht="15" hidden="false" customHeight="false" outlineLevel="0" collapsed="false">
      <c r="A277" s="6" t="s">
        <v>276</v>
      </c>
      <c r="B277" s="7" t="n">
        <v>0.043739</v>
      </c>
      <c r="C277" s="7" t="n">
        <f aca="false">((1+B277/100)^21-1)*100</f>
        <v>0.922547661244177</v>
      </c>
    </row>
    <row r="278" customFormat="false" ht="15" hidden="false" customHeight="false" outlineLevel="0" collapsed="false">
      <c r="A278" s="6" t="s">
        <v>277</v>
      </c>
      <c r="B278" s="7" t="n">
        <v>0.043739</v>
      </c>
      <c r="C278" s="7" t="n">
        <f aca="false">((1+B278/100)^21-1)*100</f>
        <v>0.922547661244177</v>
      </c>
    </row>
    <row r="279" customFormat="false" ht="15" hidden="false" customHeight="false" outlineLevel="0" collapsed="false">
      <c r="A279" s="6" t="s">
        <v>278</v>
      </c>
      <c r="B279" s="7" t="n">
        <v>0.041957</v>
      </c>
      <c r="C279" s="7" t="n">
        <f aca="false">((1+B279/100)^21-1)*100</f>
        <v>0.884803660726852</v>
      </c>
    </row>
    <row r="280" customFormat="false" ht="15" hidden="false" customHeight="false" outlineLevel="0" collapsed="false">
      <c r="A280" s="6" t="s">
        <v>279</v>
      </c>
      <c r="B280" s="7" t="n">
        <v>0.041957</v>
      </c>
      <c r="C280" s="7" t="n">
        <f aca="false">((1+B280/100)^21-1)*100</f>
        <v>0.884803660726852</v>
      </c>
    </row>
    <row r="281" customFormat="false" ht="15" hidden="false" customHeight="false" outlineLevel="0" collapsed="false">
      <c r="A281" s="6" t="s">
        <v>280</v>
      </c>
      <c r="B281" s="7" t="n">
        <v>0.041957</v>
      </c>
      <c r="C281" s="7" t="n">
        <f aca="false">((1+B281/100)^21-1)*100</f>
        <v>0.884803660726852</v>
      </c>
    </row>
    <row r="282" customFormat="false" ht="15" hidden="false" customHeight="false" outlineLevel="0" collapsed="false">
      <c r="A282" s="6" t="s">
        <v>281</v>
      </c>
      <c r="B282" s="7" t="n">
        <v>0.041957</v>
      </c>
      <c r="C282" s="7" t="n">
        <f aca="false">((1+B282/100)^21-1)*100</f>
        <v>0.884803660726852</v>
      </c>
    </row>
    <row r="283" customFormat="false" ht="15" hidden="false" customHeight="false" outlineLevel="0" collapsed="false">
      <c r="A283" s="6" t="s">
        <v>282</v>
      </c>
      <c r="B283" s="7" t="n">
        <v>0.041957</v>
      </c>
      <c r="C283" s="7" t="n">
        <f aca="false">((1+B283/100)^21-1)*100</f>
        <v>0.884803660726852</v>
      </c>
    </row>
    <row r="284" customFormat="false" ht="15" hidden="false" customHeight="false" outlineLevel="0" collapsed="false">
      <c r="A284" s="6" t="s">
        <v>283</v>
      </c>
      <c r="B284" s="7" t="n">
        <v>0.041957</v>
      </c>
      <c r="C284" s="7" t="n">
        <f aca="false">((1+B284/100)^21-1)*100</f>
        <v>0.884803660726852</v>
      </c>
    </row>
    <row r="285" customFormat="false" ht="15" hidden="false" customHeight="false" outlineLevel="0" collapsed="false">
      <c r="A285" s="6" t="s">
        <v>284</v>
      </c>
      <c r="B285" s="7" t="n">
        <v>0.041957</v>
      </c>
      <c r="C285" s="7" t="n">
        <f aca="false">((1+B285/100)^21-1)*100</f>
        <v>0.884803660726852</v>
      </c>
    </row>
    <row r="286" customFormat="false" ht="15" hidden="false" customHeight="false" outlineLevel="0" collapsed="false">
      <c r="A286" s="6" t="s">
        <v>285</v>
      </c>
      <c r="B286" s="7" t="n">
        <v>0.041957</v>
      </c>
      <c r="C286" s="7" t="n">
        <f aca="false">((1+B286/100)^21-1)*100</f>
        <v>0.884803660726852</v>
      </c>
    </row>
    <row r="287" customFormat="false" ht="15" hidden="false" customHeight="false" outlineLevel="0" collapsed="false">
      <c r="A287" s="6" t="s">
        <v>286</v>
      </c>
      <c r="B287" s="7" t="n">
        <v>0.041957</v>
      </c>
      <c r="C287" s="7" t="n">
        <f aca="false">((1+B287/100)^21-1)*100</f>
        <v>0.884803660726852</v>
      </c>
    </row>
    <row r="288" customFormat="false" ht="15" hidden="false" customHeight="false" outlineLevel="0" collapsed="false">
      <c r="A288" s="6" t="s">
        <v>287</v>
      </c>
      <c r="B288" s="7" t="n">
        <v>0.041957</v>
      </c>
      <c r="C288" s="7" t="n">
        <f aca="false">((1+B288/100)^21-1)*100</f>
        <v>0.884803660726852</v>
      </c>
    </row>
    <row r="289" customFormat="false" ht="15" hidden="false" customHeight="false" outlineLevel="0" collapsed="false">
      <c r="A289" s="6" t="s">
        <v>288</v>
      </c>
      <c r="B289" s="7" t="n">
        <v>0.041957</v>
      </c>
      <c r="C289" s="7" t="n">
        <f aca="false">((1+B289/100)^21-1)*100</f>
        <v>0.884803660726852</v>
      </c>
    </row>
    <row r="290" customFormat="false" ht="15" hidden="false" customHeight="false" outlineLevel="0" collapsed="false">
      <c r="A290" s="6" t="s">
        <v>289</v>
      </c>
      <c r="B290" s="7" t="n">
        <v>0.041957</v>
      </c>
      <c r="C290" s="7" t="n">
        <f aca="false">((1+B290/100)^21-1)*100</f>
        <v>0.884803660726852</v>
      </c>
    </row>
    <row r="291" customFormat="false" ht="15" hidden="false" customHeight="false" outlineLevel="0" collapsed="false">
      <c r="A291" s="6" t="s">
        <v>290</v>
      </c>
      <c r="B291" s="7" t="n">
        <v>0.041957</v>
      </c>
      <c r="C291" s="7" t="n">
        <f aca="false">((1+B291/100)^21-1)*100</f>
        <v>0.884803660726852</v>
      </c>
    </row>
    <row r="292" customFormat="false" ht="15" hidden="false" customHeight="false" outlineLevel="0" collapsed="false">
      <c r="A292" s="6" t="s">
        <v>291</v>
      </c>
      <c r="B292" s="7" t="n">
        <v>0.041957</v>
      </c>
      <c r="C292" s="7" t="n">
        <f aca="false">((1+B292/100)^21-1)*100</f>
        <v>0.884803660726852</v>
      </c>
    </row>
    <row r="293" customFormat="false" ht="15" hidden="false" customHeight="false" outlineLevel="0" collapsed="false">
      <c r="A293" s="6" t="s">
        <v>292</v>
      </c>
      <c r="B293" s="7" t="n">
        <v>0.041957</v>
      </c>
      <c r="C293" s="7" t="n">
        <f aca="false">((1+B293/100)^21-1)*100</f>
        <v>0.884803660726852</v>
      </c>
    </row>
    <row r="294" customFormat="false" ht="15" hidden="false" customHeight="false" outlineLevel="0" collapsed="false">
      <c r="A294" s="6" t="s">
        <v>293</v>
      </c>
      <c r="B294" s="7" t="n">
        <v>0.041957</v>
      </c>
      <c r="C294" s="7" t="n">
        <f aca="false">((1+B294/100)^21-1)*100</f>
        <v>0.884803660726852</v>
      </c>
    </row>
    <row r="295" customFormat="false" ht="15" hidden="false" customHeight="false" outlineLevel="0" collapsed="false">
      <c r="A295" s="6" t="s">
        <v>294</v>
      </c>
      <c r="B295" s="7" t="n">
        <v>0.041957</v>
      </c>
      <c r="C295" s="7" t="n">
        <f aca="false">((1+B295/100)^21-1)*100</f>
        <v>0.884803660726852</v>
      </c>
    </row>
    <row r="296" customFormat="false" ht="15" hidden="false" customHeight="false" outlineLevel="0" collapsed="false">
      <c r="A296" s="6" t="s">
        <v>295</v>
      </c>
      <c r="B296" s="7" t="n">
        <v>0.041957</v>
      </c>
      <c r="C296" s="7" t="n">
        <f aca="false">((1+B296/100)^21-1)*100</f>
        <v>0.884803660726852</v>
      </c>
    </row>
    <row r="297" customFormat="false" ht="15" hidden="false" customHeight="false" outlineLevel="0" collapsed="false">
      <c r="A297" s="6" t="s">
        <v>296</v>
      </c>
      <c r="B297" s="7" t="n">
        <v>0.041957</v>
      </c>
      <c r="C297" s="7" t="n">
        <f aca="false">((1+B297/100)^21-1)*100</f>
        <v>0.884803660726852</v>
      </c>
    </row>
    <row r="298" customFormat="false" ht="15" hidden="false" customHeight="false" outlineLevel="0" collapsed="false">
      <c r="A298" s="6" t="s">
        <v>297</v>
      </c>
      <c r="B298" s="7" t="n">
        <v>0.041957</v>
      </c>
      <c r="C298" s="7" t="n">
        <f aca="false">((1+B298/100)^21-1)*100</f>
        <v>0.884803660726852</v>
      </c>
    </row>
    <row r="299" customFormat="false" ht="15" hidden="false" customHeight="false" outlineLevel="0" collapsed="false">
      <c r="A299" s="6" t="s">
        <v>298</v>
      </c>
      <c r="B299" s="7" t="n">
        <v>0.041957</v>
      </c>
      <c r="C299" s="7" t="n">
        <f aca="false">((1+B299/100)^21-1)*100</f>
        <v>0.884803660726852</v>
      </c>
    </row>
    <row r="300" customFormat="false" ht="15" hidden="false" customHeight="false" outlineLevel="0" collapsed="false">
      <c r="A300" s="6" t="s">
        <v>299</v>
      </c>
      <c r="B300" s="7" t="n">
        <v>0.041957</v>
      </c>
      <c r="C300" s="7" t="n">
        <f aca="false">((1+B300/100)^21-1)*100</f>
        <v>0.884803660726852</v>
      </c>
    </row>
    <row r="301" customFormat="false" ht="15" hidden="false" customHeight="false" outlineLevel="0" collapsed="false">
      <c r="A301" s="6" t="s">
        <v>300</v>
      </c>
      <c r="B301" s="7" t="n">
        <v>0.041957</v>
      </c>
      <c r="C301" s="7" t="n">
        <f aca="false">((1+B301/100)^21-1)*100</f>
        <v>0.884803660726852</v>
      </c>
    </row>
    <row r="302" customFormat="false" ht="15" hidden="false" customHeight="false" outlineLevel="0" collapsed="false">
      <c r="A302" s="6" t="s">
        <v>301</v>
      </c>
      <c r="B302" s="7" t="n">
        <v>0.041957</v>
      </c>
      <c r="C302" s="7" t="n">
        <f aca="false">((1+B302/100)^21-1)*100</f>
        <v>0.884803660726852</v>
      </c>
    </row>
    <row r="303" customFormat="false" ht="15" hidden="false" customHeight="false" outlineLevel="0" collapsed="false">
      <c r="A303" s="6" t="s">
        <v>302</v>
      </c>
      <c r="B303" s="7" t="n">
        <v>0.041957</v>
      </c>
      <c r="C303" s="7" t="n">
        <f aca="false">((1+B303/100)^21-1)*100</f>
        <v>0.884803660726852</v>
      </c>
    </row>
    <row r="304" customFormat="false" ht="15" hidden="false" customHeight="false" outlineLevel="0" collapsed="false">
      <c r="A304" s="6" t="s">
        <v>303</v>
      </c>
      <c r="B304" s="7" t="n">
        <v>0.041957</v>
      </c>
      <c r="C304" s="7" t="n">
        <f aca="false">((1+B304/100)^21-1)*100</f>
        <v>0.884803660726852</v>
      </c>
    </row>
    <row r="305" customFormat="false" ht="15" hidden="false" customHeight="false" outlineLevel="0" collapsed="false">
      <c r="A305" s="6" t="s">
        <v>304</v>
      </c>
      <c r="B305" s="7" t="n">
        <v>0.041957</v>
      </c>
      <c r="C305" s="7" t="n">
        <f aca="false">((1+B305/100)^21-1)*100</f>
        <v>0.884803660726852</v>
      </c>
    </row>
    <row r="306" customFormat="false" ht="15" hidden="false" customHeight="false" outlineLevel="0" collapsed="false">
      <c r="A306" s="6" t="s">
        <v>305</v>
      </c>
      <c r="B306" s="7" t="n">
        <v>0.041957</v>
      </c>
      <c r="C306" s="7" t="n">
        <f aca="false">((1+B306/100)^21-1)*100</f>
        <v>0.884803660726852</v>
      </c>
    </row>
    <row r="307" customFormat="false" ht="15" hidden="false" customHeight="false" outlineLevel="0" collapsed="false">
      <c r="A307" s="6" t="s">
        <v>306</v>
      </c>
      <c r="B307" s="7" t="n">
        <v>0.041957</v>
      </c>
      <c r="C307" s="7" t="n">
        <f aca="false">((1+B307/100)^21-1)*100</f>
        <v>0.884803660726852</v>
      </c>
    </row>
    <row r="308" customFormat="false" ht="15" hidden="false" customHeight="false" outlineLevel="0" collapsed="false">
      <c r="A308" s="6" t="s">
        <v>307</v>
      </c>
      <c r="B308" s="7" t="n">
        <v>0.041957</v>
      </c>
      <c r="C308" s="7" t="n">
        <f aca="false">((1+B308/100)^21-1)*100</f>
        <v>0.884803660726852</v>
      </c>
    </row>
    <row r="309" customFormat="false" ht="15" hidden="false" customHeight="false" outlineLevel="0" collapsed="false">
      <c r="A309" s="6" t="s">
        <v>308</v>
      </c>
      <c r="B309" s="7" t="n">
        <v>0.041957</v>
      </c>
      <c r="C309" s="7" t="n">
        <f aca="false">((1+B309/100)^21-1)*100</f>
        <v>0.884803660726852</v>
      </c>
    </row>
    <row r="310" customFormat="false" ht="15" hidden="false" customHeight="false" outlineLevel="0" collapsed="false">
      <c r="A310" s="6" t="s">
        <v>309</v>
      </c>
      <c r="B310" s="7" t="n">
        <v>0.041957</v>
      </c>
      <c r="C310" s="7" t="n">
        <f aca="false">((1+B310/100)^21-1)*100</f>
        <v>0.884803660726852</v>
      </c>
    </row>
    <row r="311" customFormat="false" ht="15" hidden="false" customHeight="false" outlineLevel="0" collapsed="false">
      <c r="A311" s="6" t="s">
        <v>310</v>
      </c>
      <c r="B311" s="7" t="n">
        <v>0.041957</v>
      </c>
      <c r="C311" s="7" t="n">
        <f aca="false">((1+B311/100)^21-1)*100</f>
        <v>0.884803660726852</v>
      </c>
    </row>
    <row r="312" customFormat="false" ht="15" hidden="false" customHeight="false" outlineLevel="0" collapsed="false">
      <c r="A312" s="6" t="s">
        <v>311</v>
      </c>
      <c r="B312" s="7" t="n">
        <v>0.040168</v>
      </c>
      <c r="C312" s="7" t="n">
        <f aca="false">((1+B312/100)^21-1)*100</f>
        <v>0.846924918574521</v>
      </c>
    </row>
    <row r="313" customFormat="false" ht="15" hidden="false" customHeight="false" outlineLevel="0" collapsed="false">
      <c r="A313" s="6" t="s">
        <v>312</v>
      </c>
      <c r="B313" s="7" t="n">
        <v>0.040168</v>
      </c>
      <c r="C313" s="7" t="n">
        <f aca="false">((1+B313/100)^21-1)*100</f>
        <v>0.846924918574521</v>
      </c>
    </row>
    <row r="314" customFormat="false" ht="15" hidden="false" customHeight="false" outlineLevel="0" collapsed="false">
      <c r="A314" s="6" t="s">
        <v>313</v>
      </c>
      <c r="B314" s="7" t="n">
        <v>0.040168</v>
      </c>
      <c r="C314" s="7" t="n">
        <f aca="false">((1+B314/100)^21-1)*100</f>
        <v>0.846924918574521</v>
      </c>
    </row>
    <row r="315" customFormat="false" ht="15" hidden="false" customHeight="false" outlineLevel="0" collapsed="false">
      <c r="A315" s="6" t="s">
        <v>314</v>
      </c>
      <c r="B315" s="7" t="n">
        <v>0.040168</v>
      </c>
      <c r="C315" s="7" t="n">
        <f aca="false">((1+B315/100)^21-1)*100</f>
        <v>0.846924918574521</v>
      </c>
    </row>
    <row r="316" customFormat="false" ht="15" hidden="false" customHeight="false" outlineLevel="0" collapsed="false">
      <c r="A316" s="6" t="s">
        <v>315</v>
      </c>
      <c r="B316" s="7" t="n">
        <v>0.040168</v>
      </c>
      <c r="C316" s="7" t="n">
        <f aca="false">((1+B316/100)^21-1)*100</f>
        <v>0.846924918574521</v>
      </c>
    </row>
    <row r="317" customFormat="false" ht="15" hidden="false" customHeight="false" outlineLevel="0" collapsed="false">
      <c r="A317" s="6" t="s">
        <v>316</v>
      </c>
      <c r="B317" s="7" t="n">
        <v>0.040168</v>
      </c>
      <c r="C317" s="7" t="n">
        <f aca="false">((1+B317/100)^21-1)*100</f>
        <v>0.846924918574521</v>
      </c>
    </row>
    <row r="318" customFormat="false" ht="15" hidden="false" customHeight="false" outlineLevel="0" collapsed="false">
      <c r="A318" s="6" t="s">
        <v>317</v>
      </c>
      <c r="B318" s="7" t="n">
        <v>0.040168</v>
      </c>
      <c r="C318" s="7" t="n">
        <f aca="false">((1+B318/100)^21-1)*100</f>
        <v>0.846924918574521</v>
      </c>
    </row>
    <row r="319" customFormat="false" ht="15" hidden="false" customHeight="false" outlineLevel="0" collapsed="false">
      <c r="A319" s="6" t="s">
        <v>318</v>
      </c>
      <c r="B319" s="7" t="n">
        <v>0.040168</v>
      </c>
      <c r="C319" s="7" t="n">
        <f aca="false">((1+B319/100)^21-1)*100</f>
        <v>0.846924918574521</v>
      </c>
    </row>
    <row r="320" customFormat="false" ht="15" hidden="false" customHeight="false" outlineLevel="0" collapsed="false">
      <c r="A320" s="6" t="s">
        <v>319</v>
      </c>
      <c r="B320" s="7" t="n">
        <v>0.040168</v>
      </c>
      <c r="C320" s="7" t="n">
        <f aca="false">((1+B320/100)^21-1)*100</f>
        <v>0.846924918574521</v>
      </c>
    </row>
    <row r="321" customFormat="false" ht="15" hidden="false" customHeight="false" outlineLevel="0" collapsed="false">
      <c r="A321" s="6" t="s">
        <v>320</v>
      </c>
      <c r="B321" s="7" t="n">
        <v>0.040168</v>
      </c>
      <c r="C321" s="7" t="n">
        <f aca="false">((1+B321/100)^21-1)*100</f>
        <v>0.846924918574521</v>
      </c>
    </row>
    <row r="322" customFormat="false" ht="15" hidden="false" customHeight="false" outlineLevel="0" collapsed="false">
      <c r="A322" s="6" t="s">
        <v>321</v>
      </c>
      <c r="B322" s="7" t="n">
        <v>0.040168</v>
      </c>
      <c r="C322" s="7" t="n">
        <f aca="false">((1+B322/100)^21-1)*100</f>
        <v>0.846924918574521</v>
      </c>
    </row>
    <row r="323" customFormat="false" ht="15" hidden="false" customHeight="false" outlineLevel="0" collapsed="false">
      <c r="A323" s="6" t="s">
        <v>322</v>
      </c>
      <c r="B323" s="7" t="n">
        <v>0.040168</v>
      </c>
      <c r="C323" s="7" t="n">
        <f aca="false">((1+B323/100)^21-1)*100</f>
        <v>0.846924918574521</v>
      </c>
    </row>
    <row r="324" customFormat="false" ht="15" hidden="false" customHeight="false" outlineLevel="0" collapsed="false">
      <c r="A324" s="6" t="s">
        <v>323</v>
      </c>
      <c r="B324" s="7" t="n">
        <v>0.040168</v>
      </c>
      <c r="C324" s="7" t="n">
        <f aca="false">((1+B324/100)^21-1)*100</f>
        <v>0.846924918574521</v>
      </c>
    </row>
    <row r="325" customFormat="false" ht="15" hidden="false" customHeight="false" outlineLevel="0" collapsed="false">
      <c r="A325" s="6" t="s">
        <v>324</v>
      </c>
      <c r="B325" s="7" t="n">
        <v>0.040168</v>
      </c>
      <c r="C325" s="7" t="n">
        <f aca="false">((1+B325/100)^21-1)*100</f>
        <v>0.846924918574521</v>
      </c>
    </row>
    <row r="326" customFormat="false" ht="15" hidden="false" customHeight="false" outlineLevel="0" collapsed="false">
      <c r="A326" s="6" t="s">
        <v>325</v>
      </c>
      <c r="B326" s="7" t="n">
        <v>0.040168</v>
      </c>
      <c r="C326" s="7" t="n">
        <f aca="false">((1+B326/100)^21-1)*100</f>
        <v>0.846924918574521</v>
      </c>
    </row>
    <row r="327" customFormat="false" ht="15" hidden="false" customHeight="false" outlineLevel="0" collapsed="false">
      <c r="A327" s="6" t="s">
        <v>326</v>
      </c>
      <c r="B327" s="7" t="n">
        <v>0.040168</v>
      </c>
      <c r="C327" s="7" t="n">
        <f aca="false">((1+B327/100)^21-1)*100</f>
        <v>0.846924918574521</v>
      </c>
    </row>
    <row r="328" customFormat="false" ht="15" hidden="false" customHeight="false" outlineLevel="0" collapsed="false">
      <c r="A328" s="6" t="s">
        <v>327</v>
      </c>
      <c r="B328" s="7" t="n">
        <v>0.040168</v>
      </c>
      <c r="C328" s="7" t="n">
        <f aca="false">((1+B328/100)^21-1)*100</f>
        <v>0.846924918574521</v>
      </c>
    </row>
    <row r="329" customFormat="false" ht="15" hidden="false" customHeight="false" outlineLevel="0" collapsed="false">
      <c r="A329" s="6" t="s">
        <v>328</v>
      </c>
      <c r="B329" s="7" t="n">
        <v>0.040168</v>
      </c>
      <c r="C329" s="7" t="n">
        <f aca="false">((1+B329/100)^21-1)*100</f>
        <v>0.846924918574521</v>
      </c>
    </row>
    <row r="330" customFormat="false" ht="15" hidden="false" customHeight="false" outlineLevel="0" collapsed="false">
      <c r="A330" s="6" t="s">
        <v>329</v>
      </c>
      <c r="B330" s="7" t="n">
        <v>0.040168</v>
      </c>
      <c r="C330" s="7" t="n">
        <f aca="false">((1+B330/100)^21-1)*100</f>
        <v>0.846924918574521</v>
      </c>
    </row>
    <row r="331" customFormat="false" ht="15" hidden="false" customHeight="false" outlineLevel="0" collapsed="false">
      <c r="A331" s="6" t="s">
        <v>330</v>
      </c>
      <c r="B331" s="7" t="n">
        <v>0.040168</v>
      </c>
      <c r="C331" s="7" t="n">
        <f aca="false">((1+B331/100)^21-1)*100</f>
        <v>0.846924918574521</v>
      </c>
    </row>
    <row r="332" customFormat="false" ht="15" hidden="false" customHeight="false" outlineLevel="0" collapsed="false">
      <c r="A332" s="6" t="s">
        <v>331</v>
      </c>
      <c r="B332" s="7" t="n">
        <v>0.040168</v>
      </c>
      <c r="C332" s="7" t="n">
        <f aca="false">((1+B332/100)^21-1)*100</f>
        <v>0.846924918574521</v>
      </c>
    </row>
    <row r="333" customFormat="false" ht="15" hidden="false" customHeight="false" outlineLevel="0" collapsed="false">
      <c r="A333" s="6" t="s">
        <v>332</v>
      </c>
      <c r="B333" s="7" t="n">
        <v>0.040168</v>
      </c>
      <c r="C333" s="7" t="n">
        <f aca="false">((1+B333/100)^21-1)*100</f>
        <v>0.846924918574521</v>
      </c>
    </row>
    <row r="334" customFormat="false" ht="15" hidden="false" customHeight="false" outlineLevel="0" collapsed="false">
      <c r="A334" s="6" t="s">
        <v>333</v>
      </c>
      <c r="B334" s="7" t="n">
        <v>0.040168</v>
      </c>
      <c r="C334" s="7" t="n">
        <f aca="false">((1+B334/100)^21-1)*100</f>
        <v>0.846924918574521</v>
      </c>
    </row>
    <row r="335" customFormat="false" ht="15" hidden="false" customHeight="false" outlineLevel="0" collapsed="false">
      <c r="A335" s="6" t="s">
        <v>334</v>
      </c>
      <c r="B335" s="7" t="n">
        <v>0.040168</v>
      </c>
      <c r="C335" s="7" t="n">
        <f aca="false">((1+B335/100)^21-1)*100</f>
        <v>0.846924918574521</v>
      </c>
    </row>
    <row r="336" customFormat="false" ht="15" hidden="false" customHeight="false" outlineLevel="0" collapsed="false">
      <c r="A336" s="6" t="s">
        <v>335</v>
      </c>
      <c r="B336" s="7" t="n">
        <v>0.040168</v>
      </c>
      <c r="C336" s="7" t="n">
        <f aca="false">((1+B336/100)^21-1)*100</f>
        <v>0.846924918574521</v>
      </c>
    </row>
    <row r="337" customFormat="false" ht="15" hidden="false" customHeight="false" outlineLevel="0" collapsed="false">
      <c r="A337" s="6" t="s">
        <v>336</v>
      </c>
      <c r="B337" s="7" t="n">
        <v>0.040168</v>
      </c>
      <c r="C337" s="7" t="n">
        <f aca="false">((1+B337/100)^21-1)*100</f>
        <v>0.846924918574521</v>
      </c>
    </row>
    <row r="338" customFormat="false" ht="15" hidden="false" customHeight="false" outlineLevel="0" collapsed="false">
      <c r="A338" s="6" t="s">
        <v>337</v>
      </c>
      <c r="B338" s="7" t="n">
        <v>0.040168</v>
      </c>
      <c r="C338" s="7" t="n">
        <f aca="false">((1+B338/100)^21-1)*100</f>
        <v>0.846924918574521</v>
      </c>
    </row>
    <row r="339" customFormat="false" ht="15" hidden="false" customHeight="false" outlineLevel="0" collapsed="false">
      <c r="A339" s="6" t="s">
        <v>338</v>
      </c>
      <c r="B339" s="7" t="n">
        <v>0.040168</v>
      </c>
      <c r="C339" s="7" t="n">
        <f aca="false">((1+B339/100)^21-1)*100</f>
        <v>0.846924918574521</v>
      </c>
    </row>
    <row r="340" customFormat="false" ht="15" hidden="false" customHeight="false" outlineLevel="0" collapsed="false">
      <c r="A340" s="6" t="s">
        <v>339</v>
      </c>
      <c r="B340" s="7" t="n">
        <v>0.040168</v>
      </c>
      <c r="C340" s="7" t="n">
        <f aca="false">((1+B340/100)^21-1)*100</f>
        <v>0.846924918574521</v>
      </c>
    </row>
    <row r="341" customFormat="false" ht="15" hidden="false" customHeight="false" outlineLevel="0" collapsed="false">
      <c r="A341" s="6" t="s">
        <v>340</v>
      </c>
      <c r="B341" s="7" t="n">
        <v>0.040168</v>
      </c>
      <c r="C341" s="7" t="n">
        <f aca="false">((1+B341/100)^21-1)*100</f>
        <v>0.846924918574521</v>
      </c>
    </row>
    <row r="342" customFormat="false" ht="15" hidden="false" customHeight="false" outlineLevel="0" collapsed="false">
      <c r="A342" s="6" t="s">
        <v>341</v>
      </c>
      <c r="B342" s="7" t="n">
        <v>0.040168</v>
      </c>
      <c r="C342" s="7" t="n">
        <f aca="false">((1+B342/100)^21-1)*100</f>
        <v>0.846924918574521</v>
      </c>
    </row>
    <row r="343" customFormat="false" ht="15" hidden="false" customHeight="false" outlineLevel="0" collapsed="false">
      <c r="A343" s="6" t="s">
        <v>342</v>
      </c>
      <c r="B343" s="7" t="n">
        <v>0.040168</v>
      </c>
      <c r="C343" s="7" t="n">
        <f aca="false">((1+B343/100)^21-1)*100</f>
        <v>0.846924918574521</v>
      </c>
    </row>
    <row r="344" customFormat="false" ht="15" hidden="false" customHeight="false" outlineLevel="0" collapsed="false">
      <c r="A344" s="6" t="s">
        <v>343</v>
      </c>
      <c r="B344" s="7" t="n">
        <v>0.040168</v>
      </c>
      <c r="C344" s="7" t="n">
        <f aca="false">((1+B344/100)^21-1)*100</f>
        <v>0.846924918574521</v>
      </c>
    </row>
    <row r="345" customFormat="false" ht="15" hidden="false" customHeight="false" outlineLevel="0" collapsed="false">
      <c r="A345" s="6" t="s">
        <v>344</v>
      </c>
      <c r="B345" s="7" t="n">
        <v>0.03927</v>
      </c>
      <c r="C345" s="7" t="n">
        <f aca="false">((1+B345/100)^21-1)*100</f>
        <v>0.827916547763552</v>
      </c>
    </row>
    <row r="346" customFormat="false" ht="15" hidden="false" customHeight="false" outlineLevel="0" collapsed="false">
      <c r="A346" s="6" t="s">
        <v>345</v>
      </c>
      <c r="B346" s="7" t="n">
        <v>0.03927</v>
      </c>
      <c r="C346" s="7" t="n">
        <f aca="false">((1+B346/100)^21-1)*100</f>
        <v>0.827916547763552</v>
      </c>
    </row>
    <row r="347" customFormat="false" ht="15" hidden="false" customHeight="false" outlineLevel="0" collapsed="false">
      <c r="A347" s="6" t="s">
        <v>346</v>
      </c>
      <c r="B347" s="7" t="n">
        <v>0.03927</v>
      </c>
      <c r="C347" s="7" t="n">
        <f aca="false">((1+B347/100)^21-1)*100</f>
        <v>0.827916547763552</v>
      </c>
    </row>
    <row r="348" customFormat="false" ht="15" hidden="false" customHeight="false" outlineLevel="0" collapsed="false">
      <c r="A348" s="6" t="s">
        <v>347</v>
      </c>
      <c r="B348" s="7" t="n">
        <v>0.03927</v>
      </c>
      <c r="C348" s="7" t="n">
        <f aca="false">((1+B348/100)^21-1)*100</f>
        <v>0.827916547763552</v>
      </c>
    </row>
    <row r="349" customFormat="false" ht="15" hidden="false" customHeight="false" outlineLevel="0" collapsed="false">
      <c r="A349" s="6" t="s">
        <v>348</v>
      </c>
      <c r="B349" s="7" t="n">
        <v>0.03927</v>
      </c>
      <c r="C349" s="7" t="n">
        <f aca="false">((1+B349/100)^21-1)*100</f>
        <v>0.827916547763552</v>
      </c>
    </row>
    <row r="350" customFormat="false" ht="15" hidden="false" customHeight="false" outlineLevel="0" collapsed="false">
      <c r="A350" s="6" t="s">
        <v>349</v>
      </c>
      <c r="B350" s="7" t="n">
        <v>0.03927</v>
      </c>
      <c r="C350" s="7" t="n">
        <f aca="false">((1+B350/100)^21-1)*100</f>
        <v>0.827916547763552</v>
      </c>
    </row>
    <row r="351" customFormat="false" ht="15" hidden="false" customHeight="false" outlineLevel="0" collapsed="false">
      <c r="A351" s="6" t="s">
        <v>350</v>
      </c>
      <c r="B351" s="7" t="n">
        <v>0.03927</v>
      </c>
      <c r="C351" s="7" t="n">
        <f aca="false">((1+B351/100)^21-1)*100</f>
        <v>0.827916547763552</v>
      </c>
    </row>
    <row r="352" customFormat="false" ht="15" hidden="false" customHeight="false" outlineLevel="0" collapsed="false">
      <c r="A352" s="6" t="s">
        <v>351</v>
      </c>
      <c r="B352" s="7" t="n">
        <v>0.03927</v>
      </c>
      <c r="C352" s="7" t="n">
        <f aca="false">((1+B352/100)^21-1)*100</f>
        <v>0.827916547763552</v>
      </c>
    </row>
    <row r="353" customFormat="false" ht="15" hidden="false" customHeight="false" outlineLevel="0" collapsed="false">
      <c r="A353" s="6" t="s">
        <v>352</v>
      </c>
      <c r="B353" s="7" t="n">
        <v>0.03927</v>
      </c>
      <c r="C353" s="7" t="n">
        <f aca="false">((1+B353/100)^21-1)*100</f>
        <v>0.827916547763552</v>
      </c>
    </row>
    <row r="354" customFormat="false" ht="15" hidden="false" customHeight="false" outlineLevel="0" collapsed="false">
      <c r="A354" s="6" t="s">
        <v>353</v>
      </c>
      <c r="B354" s="7" t="n">
        <v>0.03927</v>
      </c>
      <c r="C354" s="7" t="n">
        <f aca="false">((1+B354/100)^21-1)*100</f>
        <v>0.827916547763552</v>
      </c>
    </row>
    <row r="355" customFormat="false" ht="15" hidden="false" customHeight="false" outlineLevel="0" collapsed="false">
      <c r="A355" s="6" t="s">
        <v>354</v>
      </c>
      <c r="B355" s="7" t="n">
        <v>0.03927</v>
      </c>
      <c r="C355" s="7" t="n">
        <f aca="false">((1+B355/100)^21-1)*100</f>
        <v>0.827916547763552</v>
      </c>
    </row>
    <row r="356" customFormat="false" ht="15" hidden="false" customHeight="false" outlineLevel="0" collapsed="false">
      <c r="A356" s="6" t="s">
        <v>355</v>
      </c>
      <c r="B356" s="7" t="n">
        <v>0.03927</v>
      </c>
      <c r="C356" s="7" t="n">
        <f aca="false">((1+B356/100)^21-1)*100</f>
        <v>0.827916547763552</v>
      </c>
    </row>
    <row r="357" customFormat="false" ht="15" hidden="false" customHeight="false" outlineLevel="0" collapsed="false">
      <c r="A357" s="6" t="s">
        <v>356</v>
      </c>
      <c r="B357" s="7" t="n">
        <v>0.03927</v>
      </c>
      <c r="C357" s="7" t="n">
        <f aca="false">((1+B357/100)^21-1)*100</f>
        <v>0.827916547763552</v>
      </c>
    </row>
    <row r="358" customFormat="false" ht="15" hidden="false" customHeight="false" outlineLevel="0" collapsed="false">
      <c r="A358" s="6" t="s">
        <v>357</v>
      </c>
      <c r="B358" s="7" t="n">
        <v>0.03927</v>
      </c>
      <c r="C358" s="7" t="n">
        <f aca="false">((1+B358/100)^21-1)*100</f>
        <v>0.827916547763552</v>
      </c>
    </row>
    <row r="359" customFormat="false" ht="15" hidden="false" customHeight="false" outlineLevel="0" collapsed="false">
      <c r="A359" s="6" t="s">
        <v>358</v>
      </c>
      <c r="B359" s="7" t="n">
        <v>0.03927</v>
      </c>
      <c r="C359" s="7" t="n">
        <f aca="false">((1+B359/100)^21-1)*100</f>
        <v>0.827916547763552</v>
      </c>
    </row>
    <row r="360" customFormat="false" ht="15" hidden="false" customHeight="false" outlineLevel="0" collapsed="false">
      <c r="A360" s="6" t="s">
        <v>359</v>
      </c>
      <c r="B360" s="7" t="n">
        <v>0.03927</v>
      </c>
      <c r="C360" s="7" t="n">
        <f aca="false">((1+B360/100)^21-1)*100</f>
        <v>0.827916547763552</v>
      </c>
    </row>
    <row r="361" customFormat="false" ht="15" hidden="false" customHeight="false" outlineLevel="0" collapsed="false">
      <c r="A361" s="6" t="s">
        <v>360</v>
      </c>
      <c r="B361" s="7" t="n">
        <v>0.03927</v>
      </c>
      <c r="C361" s="7" t="n">
        <f aca="false">((1+B361/100)^21-1)*100</f>
        <v>0.827916547763552</v>
      </c>
    </row>
    <row r="362" customFormat="false" ht="15" hidden="false" customHeight="false" outlineLevel="0" collapsed="false">
      <c r="A362" s="6" t="s">
        <v>361</v>
      </c>
      <c r="B362" s="7" t="n">
        <v>0.03927</v>
      </c>
      <c r="C362" s="7" t="n">
        <f aca="false">((1+B362/100)^21-1)*100</f>
        <v>0.827916547763552</v>
      </c>
    </row>
    <row r="363" customFormat="false" ht="15" hidden="false" customHeight="false" outlineLevel="0" collapsed="false">
      <c r="A363" s="6" t="s">
        <v>362</v>
      </c>
      <c r="B363" s="7" t="n">
        <v>0.03927</v>
      </c>
      <c r="C363" s="7" t="n">
        <f aca="false">((1+B363/100)^21-1)*100</f>
        <v>0.827916547763552</v>
      </c>
    </row>
    <row r="364" customFormat="false" ht="15" hidden="false" customHeight="false" outlineLevel="0" collapsed="false">
      <c r="A364" s="6" t="s">
        <v>363</v>
      </c>
      <c r="B364" s="7" t="n">
        <v>0.03927</v>
      </c>
      <c r="C364" s="7" t="n">
        <f aca="false">((1+B364/100)^21-1)*100</f>
        <v>0.827916547763552</v>
      </c>
    </row>
    <row r="365" customFormat="false" ht="15" hidden="false" customHeight="false" outlineLevel="0" collapsed="false">
      <c r="A365" s="6" t="s">
        <v>364</v>
      </c>
      <c r="B365" s="7" t="n">
        <v>0.03927</v>
      </c>
      <c r="C365" s="7" t="n">
        <f aca="false">((1+B365/100)^21-1)*100</f>
        <v>0.827916547763552</v>
      </c>
    </row>
    <row r="366" customFormat="false" ht="15" hidden="false" customHeight="false" outlineLevel="0" collapsed="false">
      <c r="A366" s="6" t="s">
        <v>365</v>
      </c>
      <c r="B366" s="7" t="n">
        <v>0.03927</v>
      </c>
      <c r="C366" s="7" t="n">
        <f aca="false">((1+B366/100)^21-1)*100</f>
        <v>0.827916547763552</v>
      </c>
    </row>
    <row r="367" customFormat="false" ht="15" hidden="false" customHeight="false" outlineLevel="0" collapsed="false">
      <c r="A367" s="6" t="s">
        <v>366</v>
      </c>
      <c r="B367" s="7" t="n">
        <v>0.03927</v>
      </c>
      <c r="C367" s="7" t="n">
        <f aca="false">((1+B367/100)^21-1)*100</f>
        <v>0.827916547763552</v>
      </c>
    </row>
    <row r="368" customFormat="false" ht="15" hidden="false" customHeight="false" outlineLevel="0" collapsed="false">
      <c r="A368" s="6" t="s">
        <v>367</v>
      </c>
      <c r="B368" s="7" t="n">
        <v>0.03927</v>
      </c>
      <c r="C368" s="7" t="n">
        <f aca="false">((1+B368/100)^21-1)*100</f>
        <v>0.827916547763552</v>
      </c>
    </row>
    <row r="369" customFormat="false" ht="15" hidden="false" customHeight="false" outlineLevel="0" collapsed="false">
      <c r="A369" s="6" t="s">
        <v>368</v>
      </c>
      <c r="B369" s="7" t="n">
        <v>0.03927</v>
      </c>
      <c r="C369" s="7" t="n">
        <f aca="false">((1+B369/100)^21-1)*100</f>
        <v>0.827916547763552</v>
      </c>
    </row>
    <row r="370" customFormat="false" ht="15" hidden="false" customHeight="false" outlineLevel="0" collapsed="false">
      <c r="A370" s="6" t="s">
        <v>369</v>
      </c>
      <c r="B370" s="7" t="n">
        <v>0.03927</v>
      </c>
      <c r="C370" s="7" t="n">
        <f aca="false">((1+B370/100)^21-1)*100</f>
        <v>0.827916547763552</v>
      </c>
    </row>
    <row r="371" customFormat="false" ht="15" hidden="false" customHeight="false" outlineLevel="0" collapsed="false">
      <c r="A371" s="6" t="s">
        <v>370</v>
      </c>
      <c r="B371" s="7" t="n">
        <v>0.03927</v>
      </c>
      <c r="C371" s="7" t="n">
        <f aca="false">((1+B371/100)^21-1)*100</f>
        <v>0.827916547763552</v>
      </c>
    </row>
    <row r="372" customFormat="false" ht="15" hidden="false" customHeight="false" outlineLevel="0" collapsed="false">
      <c r="A372" s="6" t="s">
        <v>371</v>
      </c>
      <c r="B372" s="7" t="n">
        <v>0.03927</v>
      </c>
      <c r="C372" s="7" t="n">
        <f aca="false">((1+B372/100)^21-1)*100</f>
        <v>0.827916547763552</v>
      </c>
    </row>
    <row r="373" customFormat="false" ht="15" hidden="false" customHeight="false" outlineLevel="0" collapsed="false">
      <c r="A373" s="6" t="s">
        <v>372</v>
      </c>
      <c r="B373" s="7" t="n">
        <v>0.03927</v>
      </c>
      <c r="C373" s="7" t="n">
        <f aca="false">((1+B373/100)^21-1)*100</f>
        <v>0.827916547763552</v>
      </c>
    </row>
    <row r="374" customFormat="false" ht="15" hidden="false" customHeight="false" outlineLevel="0" collapsed="false">
      <c r="A374" s="6" t="s">
        <v>373</v>
      </c>
      <c r="B374" s="7" t="n">
        <v>0.03927</v>
      </c>
      <c r="C374" s="7" t="n">
        <f aca="false">((1+B374/100)^21-1)*100</f>
        <v>0.827916547763552</v>
      </c>
    </row>
    <row r="375" customFormat="false" ht="15" hidden="false" customHeight="false" outlineLevel="0" collapsed="false">
      <c r="A375" s="6" t="s">
        <v>374</v>
      </c>
      <c r="B375" s="7" t="n">
        <v>0.03927</v>
      </c>
      <c r="C375" s="7" t="n">
        <f aca="false">((1+B375/100)^21-1)*100</f>
        <v>0.827916547763552</v>
      </c>
    </row>
    <row r="376" customFormat="false" ht="15" hidden="false" customHeight="false" outlineLevel="0" collapsed="false">
      <c r="A376" s="6" t="s">
        <v>375</v>
      </c>
      <c r="B376" s="7" t="n">
        <v>0.03927</v>
      </c>
      <c r="C376" s="7" t="n">
        <f aca="false">((1+B376/100)^21-1)*100</f>
        <v>0.827916547763552</v>
      </c>
    </row>
    <row r="377" customFormat="false" ht="15" hidden="false" customHeight="false" outlineLevel="0" collapsed="false">
      <c r="A377" s="6" t="s">
        <v>376</v>
      </c>
      <c r="B377" s="7" t="n">
        <v>0.03927</v>
      </c>
      <c r="C377" s="7" t="n">
        <f aca="false">((1+B377/100)^21-1)*100</f>
        <v>0.827916547763552</v>
      </c>
    </row>
    <row r="378" customFormat="false" ht="15" hidden="false" customHeight="false" outlineLevel="0" collapsed="false">
      <c r="A378" s="6" t="s">
        <v>377</v>
      </c>
      <c r="B378" s="7" t="n">
        <v>0.03927</v>
      </c>
      <c r="C378" s="7" t="n">
        <f aca="false">((1+B378/100)^21-1)*100</f>
        <v>0.827916547763552</v>
      </c>
    </row>
    <row r="379" customFormat="false" ht="15" hidden="false" customHeight="false" outlineLevel="0" collapsed="false">
      <c r="A379" s="6" t="s">
        <v>378</v>
      </c>
      <c r="B379" s="7" t="n">
        <v>0.03927</v>
      </c>
      <c r="C379" s="7" t="n">
        <f aca="false">((1+B379/100)^21-1)*100</f>
        <v>0.827916547763552</v>
      </c>
    </row>
    <row r="380" customFormat="false" ht="15" hidden="false" customHeight="false" outlineLevel="0" collapsed="false">
      <c r="A380" s="6" t="s">
        <v>379</v>
      </c>
      <c r="B380" s="7" t="n">
        <v>0.03927</v>
      </c>
      <c r="C380" s="7" t="n">
        <f aca="false">((1+B380/100)^21-1)*100</f>
        <v>0.827916547763552</v>
      </c>
    </row>
    <row r="381" customFormat="false" ht="15" hidden="false" customHeight="false" outlineLevel="0" collapsed="false">
      <c r="A381" s="6" t="s">
        <v>380</v>
      </c>
      <c r="B381" s="7" t="n">
        <v>0.03927</v>
      </c>
      <c r="C381" s="7" t="n">
        <f aca="false">((1+B381/100)^21-1)*100</f>
        <v>0.827916547763552</v>
      </c>
    </row>
    <row r="382" customFormat="false" ht="15" hidden="false" customHeight="false" outlineLevel="0" collapsed="false">
      <c r="A382" s="6" t="s">
        <v>381</v>
      </c>
      <c r="B382" s="7" t="n">
        <v>0.03927</v>
      </c>
      <c r="C382" s="7" t="n">
        <f aca="false">((1+B382/100)^21-1)*100</f>
        <v>0.827916547763552</v>
      </c>
    </row>
    <row r="383" customFormat="false" ht="15" hidden="false" customHeight="false" outlineLevel="0" collapsed="false">
      <c r="A383" s="6" t="s">
        <v>382</v>
      </c>
      <c r="B383" s="7" t="n">
        <v>0.03927</v>
      </c>
      <c r="C383" s="7" t="n">
        <f aca="false">((1+B383/100)^21-1)*100</f>
        <v>0.827916547763552</v>
      </c>
    </row>
    <row r="384" customFormat="false" ht="15" hidden="false" customHeight="false" outlineLevel="0" collapsed="false">
      <c r="A384" s="6" t="s">
        <v>383</v>
      </c>
      <c r="B384" s="7" t="n">
        <v>0.03927</v>
      </c>
      <c r="C384" s="7" t="n">
        <f aca="false">((1+B384/100)^21-1)*100</f>
        <v>0.827916547763552</v>
      </c>
    </row>
    <row r="385" customFormat="false" ht="15" hidden="false" customHeight="false" outlineLevel="0" collapsed="false">
      <c r="A385" s="6" t="s">
        <v>384</v>
      </c>
      <c r="B385" s="7" t="n">
        <v>0.03927</v>
      </c>
      <c r="C385" s="7" t="n">
        <f aca="false">((1+B385/100)^21-1)*100</f>
        <v>0.827916547763552</v>
      </c>
    </row>
    <row r="386" customFormat="false" ht="15" hidden="false" customHeight="false" outlineLevel="0" collapsed="false">
      <c r="A386" s="6" t="s">
        <v>385</v>
      </c>
      <c r="B386" s="7" t="n">
        <v>0.03927</v>
      </c>
      <c r="C386" s="7" t="n">
        <f aca="false">((1+B386/100)^21-1)*100</f>
        <v>0.827916547763552</v>
      </c>
    </row>
    <row r="387" customFormat="false" ht="15" hidden="false" customHeight="false" outlineLevel="0" collapsed="false">
      <c r="A387" s="6" t="s">
        <v>386</v>
      </c>
      <c r="B387" s="7" t="n">
        <v>0.03927</v>
      </c>
      <c r="C387" s="7" t="n">
        <f aca="false">((1+B387/100)^21-1)*100</f>
        <v>0.827916547763552</v>
      </c>
    </row>
    <row r="388" customFormat="false" ht="15" hidden="false" customHeight="false" outlineLevel="0" collapsed="false">
      <c r="A388" s="6" t="s">
        <v>387</v>
      </c>
      <c r="B388" s="7" t="n">
        <v>0.03927</v>
      </c>
      <c r="C388" s="7" t="n">
        <f aca="false">((1+B388/100)^21-1)*100</f>
        <v>0.827916547763552</v>
      </c>
    </row>
    <row r="389" customFormat="false" ht="15" hidden="false" customHeight="false" outlineLevel="0" collapsed="false">
      <c r="A389" s="6" t="s">
        <v>388</v>
      </c>
      <c r="B389" s="7" t="n">
        <v>0.03927</v>
      </c>
      <c r="C389" s="7" t="n">
        <f aca="false">((1+B389/100)^21-1)*100</f>
        <v>0.827916547763552</v>
      </c>
    </row>
    <row r="390" customFormat="false" ht="15" hidden="false" customHeight="false" outlineLevel="0" collapsed="false">
      <c r="A390" s="6" t="s">
        <v>389</v>
      </c>
      <c r="B390" s="7" t="n">
        <v>0.03927</v>
      </c>
      <c r="C390" s="7" t="n">
        <f aca="false">((1+B390/100)^21-1)*100</f>
        <v>0.827916547763552</v>
      </c>
    </row>
    <row r="391" customFormat="false" ht="15" hidden="false" customHeight="false" outlineLevel="0" collapsed="false">
      <c r="A391" s="6" t="s">
        <v>390</v>
      </c>
      <c r="B391" s="7" t="n">
        <v>0.03927</v>
      </c>
      <c r="C391" s="7" t="n">
        <f aca="false">((1+B391/100)^21-1)*100</f>
        <v>0.827916547763552</v>
      </c>
    </row>
    <row r="392" customFormat="false" ht="15" hidden="false" customHeight="false" outlineLevel="0" collapsed="false">
      <c r="A392" s="6" t="s">
        <v>391</v>
      </c>
      <c r="B392" s="7" t="n">
        <v>0.03927</v>
      </c>
      <c r="C392" s="7" t="n">
        <f aca="false">((1+B392/100)^21-1)*100</f>
        <v>0.827916547763552</v>
      </c>
    </row>
    <row r="393" customFormat="false" ht="15" hidden="false" customHeight="false" outlineLevel="0" collapsed="false">
      <c r="A393" s="6" t="s">
        <v>392</v>
      </c>
      <c r="B393" s="7" t="n">
        <v>0.03927</v>
      </c>
      <c r="C393" s="7" t="n">
        <f aca="false">((1+B393/100)^21-1)*100</f>
        <v>0.827916547763552</v>
      </c>
    </row>
    <row r="394" customFormat="false" ht="15" hidden="false" customHeight="false" outlineLevel="0" collapsed="false">
      <c r="A394" s="6" t="s">
        <v>393</v>
      </c>
      <c r="B394" s="7" t="n">
        <v>0.03927</v>
      </c>
      <c r="C394" s="7" t="n">
        <f aca="false">((1+B394/100)^21-1)*100</f>
        <v>0.827916547763552</v>
      </c>
    </row>
    <row r="395" customFormat="false" ht="15" hidden="false" customHeight="false" outlineLevel="0" collapsed="false">
      <c r="A395" s="6" t="s">
        <v>394</v>
      </c>
      <c r="B395" s="7" t="n">
        <v>0.03927</v>
      </c>
      <c r="C395" s="7" t="n">
        <f aca="false">((1+B395/100)^21-1)*100</f>
        <v>0.827916547763552</v>
      </c>
    </row>
    <row r="396" customFormat="false" ht="15" hidden="false" customHeight="false" outlineLevel="0" collapsed="false">
      <c r="A396" s="6" t="s">
        <v>395</v>
      </c>
      <c r="B396" s="7" t="n">
        <v>0.03927</v>
      </c>
      <c r="C396" s="7" t="n">
        <f aca="false">((1+B396/100)^21-1)*100</f>
        <v>0.827916547763552</v>
      </c>
    </row>
    <row r="397" customFormat="false" ht="15" hidden="false" customHeight="false" outlineLevel="0" collapsed="false">
      <c r="A397" s="6" t="s">
        <v>396</v>
      </c>
      <c r="B397" s="7" t="n">
        <v>0.03927</v>
      </c>
      <c r="C397" s="7" t="n">
        <f aca="false">((1+B397/100)^21-1)*100</f>
        <v>0.827916547763552</v>
      </c>
    </row>
    <row r="398" customFormat="false" ht="15" hidden="false" customHeight="false" outlineLevel="0" collapsed="false">
      <c r="A398" s="6" t="s">
        <v>397</v>
      </c>
      <c r="B398" s="7" t="n">
        <v>0.03927</v>
      </c>
      <c r="C398" s="7" t="n">
        <f aca="false">((1+B398/100)^21-1)*100</f>
        <v>0.827916547763552</v>
      </c>
    </row>
    <row r="399" customFormat="false" ht="15" hidden="false" customHeight="false" outlineLevel="0" collapsed="false">
      <c r="A399" s="6" t="s">
        <v>398</v>
      </c>
      <c r="B399" s="7" t="n">
        <v>0.03927</v>
      </c>
      <c r="C399" s="7" t="n">
        <f aca="false">((1+B399/100)^21-1)*100</f>
        <v>0.827916547763552</v>
      </c>
    </row>
    <row r="400" customFormat="false" ht="15" hidden="false" customHeight="false" outlineLevel="0" collapsed="false">
      <c r="A400" s="6" t="s">
        <v>399</v>
      </c>
      <c r="B400" s="7" t="n">
        <v>0.03927</v>
      </c>
      <c r="C400" s="7" t="n">
        <f aca="false">((1+B400/100)^21-1)*100</f>
        <v>0.827916547763552</v>
      </c>
    </row>
    <row r="401" customFormat="false" ht="15" hidden="false" customHeight="false" outlineLevel="0" collapsed="false">
      <c r="A401" s="6" t="s">
        <v>400</v>
      </c>
      <c r="B401" s="7" t="n">
        <v>0.03927</v>
      </c>
      <c r="C401" s="7" t="n">
        <f aca="false">((1+B401/100)^21-1)*100</f>
        <v>0.827916547763552</v>
      </c>
    </row>
    <row r="402" customFormat="false" ht="15" hidden="false" customHeight="false" outlineLevel="0" collapsed="false">
      <c r="A402" s="6" t="s">
        <v>401</v>
      </c>
      <c r="B402" s="7" t="n">
        <v>0.03927</v>
      </c>
      <c r="C402" s="7" t="n">
        <f aca="false">((1+B402/100)^21-1)*100</f>
        <v>0.827916547763552</v>
      </c>
    </row>
    <row r="403" customFormat="false" ht="15" hidden="false" customHeight="false" outlineLevel="0" collapsed="false">
      <c r="A403" s="6" t="s">
        <v>402</v>
      </c>
      <c r="B403" s="7" t="n">
        <v>0.03927</v>
      </c>
      <c r="C403" s="7" t="n">
        <f aca="false">((1+B403/100)^21-1)*100</f>
        <v>0.827916547763552</v>
      </c>
    </row>
    <row r="404" customFormat="false" ht="15" hidden="false" customHeight="false" outlineLevel="0" collapsed="false">
      <c r="A404" s="6" t="s">
        <v>403</v>
      </c>
      <c r="B404" s="7" t="n">
        <v>0.03927</v>
      </c>
      <c r="C404" s="7" t="n">
        <f aca="false">((1+B404/100)^21-1)*100</f>
        <v>0.827916547763552</v>
      </c>
    </row>
    <row r="405" customFormat="false" ht="15" hidden="false" customHeight="false" outlineLevel="0" collapsed="false">
      <c r="A405" s="6" t="s">
        <v>404</v>
      </c>
      <c r="B405" s="7" t="n">
        <v>0.03927</v>
      </c>
      <c r="C405" s="7" t="n">
        <f aca="false">((1+B405/100)^21-1)*100</f>
        <v>0.827916547763552</v>
      </c>
    </row>
    <row r="406" customFormat="false" ht="15" hidden="false" customHeight="false" outlineLevel="0" collapsed="false">
      <c r="A406" s="6" t="s">
        <v>405</v>
      </c>
      <c r="B406" s="7" t="n">
        <v>0.03927</v>
      </c>
      <c r="C406" s="7" t="n">
        <f aca="false">((1+B406/100)^21-1)*100</f>
        <v>0.827916547763552</v>
      </c>
    </row>
    <row r="407" customFormat="false" ht="15" hidden="false" customHeight="false" outlineLevel="0" collapsed="false">
      <c r="A407" s="6" t="s">
        <v>406</v>
      </c>
      <c r="B407" s="7" t="n">
        <v>0.03927</v>
      </c>
      <c r="C407" s="7" t="n">
        <f aca="false">((1+B407/100)^21-1)*100</f>
        <v>0.827916547763552</v>
      </c>
    </row>
    <row r="408" customFormat="false" ht="15" hidden="false" customHeight="false" outlineLevel="0" collapsed="false">
      <c r="A408" s="6" t="s">
        <v>407</v>
      </c>
      <c r="B408" s="7" t="n">
        <v>0.03927</v>
      </c>
      <c r="C408" s="7" t="n">
        <f aca="false">((1+B408/100)^21-1)*100</f>
        <v>0.827916547763552</v>
      </c>
    </row>
    <row r="409" customFormat="false" ht="15" hidden="false" customHeight="false" outlineLevel="0" collapsed="false">
      <c r="A409" s="6" t="s">
        <v>408</v>
      </c>
      <c r="B409" s="7" t="n">
        <v>0.03927</v>
      </c>
      <c r="C409" s="7" t="n">
        <f aca="false">((1+B409/100)^21-1)*100</f>
        <v>0.827916547763552</v>
      </c>
    </row>
    <row r="410" customFormat="false" ht="15" hidden="false" customHeight="false" outlineLevel="0" collapsed="false">
      <c r="A410" s="6" t="s">
        <v>409</v>
      </c>
      <c r="B410" s="7" t="n">
        <v>0.03927</v>
      </c>
      <c r="C410" s="7" t="n">
        <f aca="false">((1+B410/100)^21-1)*100</f>
        <v>0.827916547763552</v>
      </c>
    </row>
    <row r="411" customFormat="false" ht="15" hidden="false" customHeight="false" outlineLevel="0" collapsed="false">
      <c r="A411" s="6" t="s">
        <v>410</v>
      </c>
      <c r="B411" s="7" t="n">
        <v>0.03927</v>
      </c>
      <c r="C411" s="7" t="n">
        <f aca="false">((1+B411/100)^21-1)*100</f>
        <v>0.827916547763552</v>
      </c>
    </row>
    <row r="412" customFormat="false" ht="15" hidden="false" customHeight="false" outlineLevel="0" collapsed="false">
      <c r="A412" s="6" t="s">
        <v>411</v>
      </c>
      <c r="B412" s="7" t="n">
        <v>0.03927</v>
      </c>
      <c r="C412" s="7" t="n">
        <f aca="false">((1+B412/100)^21-1)*100</f>
        <v>0.827916547763552</v>
      </c>
    </row>
    <row r="413" customFormat="false" ht="15" hidden="false" customHeight="false" outlineLevel="0" collapsed="false">
      <c r="A413" s="6" t="s">
        <v>412</v>
      </c>
      <c r="B413" s="7" t="n">
        <v>0.03927</v>
      </c>
      <c r="C413" s="7" t="n">
        <f aca="false">((1+B413/100)^21-1)*100</f>
        <v>0.827916547763552</v>
      </c>
    </row>
    <row r="414" customFormat="false" ht="15" hidden="false" customHeight="false" outlineLevel="0" collapsed="false">
      <c r="A414" s="6" t="s">
        <v>413</v>
      </c>
      <c r="B414" s="7" t="n">
        <v>0.03927</v>
      </c>
      <c r="C414" s="7" t="n">
        <f aca="false">((1+B414/100)^21-1)*100</f>
        <v>0.827916547763552</v>
      </c>
    </row>
    <row r="415" customFormat="false" ht="15" hidden="false" customHeight="false" outlineLevel="0" collapsed="false">
      <c r="A415" s="6" t="s">
        <v>414</v>
      </c>
      <c r="B415" s="7" t="n">
        <v>0.03927</v>
      </c>
      <c r="C415" s="7" t="n">
        <f aca="false">((1+B415/100)^21-1)*100</f>
        <v>0.827916547763552</v>
      </c>
    </row>
    <row r="416" customFormat="false" ht="15" hidden="false" customHeight="false" outlineLevel="0" collapsed="false">
      <c r="A416" s="6" t="s">
        <v>415</v>
      </c>
      <c r="B416" s="7" t="n">
        <v>0.03927</v>
      </c>
      <c r="C416" s="7" t="n">
        <f aca="false">((1+B416/100)^21-1)*100</f>
        <v>0.827916547763552</v>
      </c>
    </row>
    <row r="417" customFormat="false" ht="15" hidden="false" customHeight="false" outlineLevel="0" collapsed="false">
      <c r="A417" s="6" t="s">
        <v>416</v>
      </c>
      <c r="B417" s="7" t="n">
        <v>0.03927</v>
      </c>
      <c r="C417" s="7" t="n">
        <f aca="false">((1+B417/100)^21-1)*100</f>
        <v>0.827916547763552</v>
      </c>
    </row>
    <row r="418" customFormat="false" ht="15" hidden="false" customHeight="false" outlineLevel="0" collapsed="false">
      <c r="A418" s="6" t="s">
        <v>417</v>
      </c>
      <c r="B418" s="7" t="n">
        <v>0.03927</v>
      </c>
      <c r="C418" s="7" t="n">
        <f aca="false">((1+B418/100)^21-1)*100</f>
        <v>0.827916547763552</v>
      </c>
    </row>
    <row r="419" customFormat="false" ht="15" hidden="false" customHeight="false" outlineLevel="0" collapsed="false">
      <c r="A419" s="6" t="s">
        <v>418</v>
      </c>
      <c r="B419" s="7" t="n">
        <v>0.03927</v>
      </c>
      <c r="C419" s="7" t="n">
        <f aca="false">((1+B419/100)^21-1)*100</f>
        <v>0.827916547763552</v>
      </c>
    </row>
    <row r="420" customFormat="false" ht="15" hidden="false" customHeight="false" outlineLevel="0" collapsed="false">
      <c r="A420" s="6" t="s">
        <v>419</v>
      </c>
      <c r="B420" s="7" t="n">
        <v>0.03927</v>
      </c>
      <c r="C420" s="7" t="n">
        <f aca="false">((1+B420/100)^21-1)*100</f>
        <v>0.827916547763552</v>
      </c>
    </row>
    <row r="421" customFormat="false" ht="15" hidden="false" customHeight="false" outlineLevel="0" collapsed="false">
      <c r="A421" s="6" t="s">
        <v>420</v>
      </c>
      <c r="B421" s="7" t="n">
        <v>0.03927</v>
      </c>
      <c r="C421" s="7" t="n">
        <f aca="false">((1+B421/100)^21-1)*100</f>
        <v>0.827916547763552</v>
      </c>
    </row>
    <row r="422" customFormat="false" ht="15" hidden="false" customHeight="false" outlineLevel="0" collapsed="false">
      <c r="A422" s="6" t="s">
        <v>421</v>
      </c>
      <c r="B422" s="7" t="n">
        <v>0.03927</v>
      </c>
      <c r="C422" s="7" t="n">
        <f aca="false">((1+B422/100)^21-1)*100</f>
        <v>0.827916547763552</v>
      </c>
    </row>
    <row r="423" customFormat="false" ht="15" hidden="false" customHeight="false" outlineLevel="0" collapsed="false">
      <c r="A423" s="6" t="s">
        <v>422</v>
      </c>
      <c r="B423" s="7" t="n">
        <v>0.03927</v>
      </c>
      <c r="C423" s="7" t="n">
        <f aca="false">((1+B423/100)^21-1)*100</f>
        <v>0.827916547763552</v>
      </c>
    </row>
    <row r="424" customFormat="false" ht="15" hidden="false" customHeight="false" outlineLevel="0" collapsed="false">
      <c r="A424" s="6" t="s">
        <v>423</v>
      </c>
      <c r="B424" s="7" t="n">
        <v>0.03927</v>
      </c>
      <c r="C424" s="7" t="n">
        <f aca="false">((1+B424/100)^21-1)*100</f>
        <v>0.827916547763552</v>
      </c>
    </row>
    <row r="425" customFormat="false" ht="15" hidden="false" customHeight="false" outlineLevel="0" collapsed="false">
      <c r="A425" s="6" t="s">
        <v>424</v>
      </c>
      <c r="B425" s="7" t="n">
        <v>0.03927</v>
      </c>
      <c r="C425" s="7" t="n">
        <f aca="false">((1+B425/100)^21-1)*100</f>
        <v>0.827916547763552</v>
      </c>
    </row>
    <row r="426" customFormat="false" ht="15" hidden="false" customHeight="false" outlineLevel="0" collapsed="false">
      <c r="A426" s="6" t="s">
        <v>425</v>
      </c>
      <c r="B426" s="7" t="n">
        <v>0.03927</v>
      </c>
      <c r="C426" s="7" t="n">
        <f aca="false">((1+B426/100)^21-1)*100</f>
        <v>0.827916547763552</v>
      </c>
    </row>
    <row r="427" customFormat="false" ht="15" hidden="false" customHeight="false" outlineLevel="0" collapsed="false">
      <c r="A427" s="6" t="s">
        <v>426</v>
      </c>
      <c r="B427" s="7" t="n">
        <v>0.03927</v>
      </c>
      <c r="C427" s="7" t="n">
        <f aca="false">((1+B427/100)^21-1)*100</f>
        <v>0.827916547763552</v>
      </c>
    </row>
    <row r="428" customFormat="false" ht="15" hidden="false" customHeight="false" outlineLevel="0" collapsed="false">
      <c r="A428" s="6" t="s">
        <v>427</v>
      </c>
      <c r="B428" s="7" t="n">
        <v>0.03927</v>
      </c>
      <c r="C428" s="7" t="n">
        <f aca="false">((1+B428/100)^21-1)*100</f>
        <v>0.827916547763552</v>
      </c>
    </row>
    <row r="429" customFormat="false" ht="15" hidden="false" customHeight="false" outlineLevel="0" collapsed="false">
      <c r="A429" s="6" t="s">
        <v>428</v>
      </c>
      <c r="B429" s="7" t="n">
        <v>0.03927</v>
      </c>
      <c r="C429" s="7" t="n">
        <f aca="false">((1+B429/100)^21-1)*100</f>
        <v>0.827916547763552</v>
      </c>
    </row>
    <row r="430" customFormat="false" ht="15" hidden="false" customHeight="false" outlineLevel="0" collapsed="false">
      <c r="A430" s="6" t="s">
        <v>429</v>
      </c>
      <c r="B430" s="7" t="n">
        <v>0.03927</v>
      </c>
      <c r="C430" s="7" t="n">
        <f aca="false">((1+B430/100)^21-1)*100</f>
        <v>0.827916547763552</v>
      </c>
    </row>
    <row r="431" customFormat="false" ht="15" hidden="false" customHeight="false" outlineLevel="0" collapsed="false">
      <c r="A431" s="6" t="s">
        <v>430</v>
      </c>
      <c r="B431" s="7" t="n">
        <v>0.03927</v>
      </c>
      <c r="C431" s="7" t="n">
        <f aca="false">((1+B431/100)^21-1)*100</f>
        <v>0.827916547763552</v>
      </c>
    </row>
    <row r="432" customFormat="false" ht="15" hidden="false" customHeight="false" outlineLevel="0" collapsed="false">
      <c r="A432" s="6" t="s">
        <v>431</v>
      </c>
      <c r="B432" s="7" t="n">
        <v>0.03927</v>
      </c>
      <c r="C432" s="7" t="n">
        <f aca="false">((1+B432/100)^21-1)*100</f>
        <v>0.827916547763552</v>
      </c>
    </row>
    <row r="433" customFormat="false" ht="15" hidden="false" customHeight="false" outlineLevel="0" collapsed="false">
      <c r="A433" s="6" t="s">
        <v>432</v>
      </c>
      <c r="B433" s="7" t="n">
        <v>0.03927</v>
      </c>
      <c r="C433" s="7" t="n">
        <f aca="false">((1+B433/100)^21-1)*100</f>
        <v>0.827916547763552</v>
      </c>
    </row>
    <row r="434" customFormat="false" ht="15" hidden="false" customHeight="false" outlineLevel="0" collapsed="false">
      <c r="A434" s="6" t="s">
        <v>433</v>
      </c>
      <c r="B434" s="7" t="n">
        <v>0.03927</v>
      </c>
      <c r="C434" s="7" t="n">
        <f aca="false">((1+B434/100)^21-1)*100</f>
        <v>0.827916547763552</v>
      </c>
    </row>
    <row r="435" customFormat="false" ht="15" hidden="false" customHeight="false" outlineLevel="0" collapsed="false">
      <c r="A435" s="6" t="s">
        <v>434</v>
      </c>
      <c r="B435" s="7" t="n">
        <v>0.03927</v>
      </c>
      <c r="C435" s="7" t="n">
        <f aca="false">((1+B435/100)^21-1)*100</f>
        <v>0.827916547763552</v>
      </c>
    </row>
    <row r="436" customFormat="false" ht="15" hidden="false" customHeight="false" outlineLevel="0" collapsed="false">
      <c r="A436" s="6" t="s">
        <v>435</v>
      </c>
      <c r="B436" s="7" t="n">
        <v>0.03927</v>
      </c>
      <c r="C436" s="7" t="n">
        <f aca="false">((1+B436/100)^21-1)*100</f>
        <v>0.827916547763552</v>
      </c>
    </row>
    <row r="437" customFormat="false" ht="15" hidden="false" customHeight="false" outlineLevel="0" collapsed="false">
      <c r="A437" s="6" t="s">
        <v>436</v>
      </c>
      <c r="B437" s="7" t="n">
        <v>0.03927</v>
      </c>
      <c r="C437" s="7" t="n">
        <f aca="false">((1+B437/100)^21-1)*100</f>
        <v>0.827916547763552</v>
      </c>
    </row>
    <row r="438" customFormat="false" ht="15" hidden="false" customHeight="false" outlineLevel="0" collapsed="false">
      <c r="A438" s="6" t="s">
        <v>437</v>
      </c>
      <c r="B438" s="7" t="n">
        <v>0.03927</v>
      </c>
      <c r="C438" s="7" t="n">
        <f aca="false">((1+B438/100)^21-1)*100</f>
        <v>0.827916547763552</v>
      </c>
    </row>
    <row r="439" customFormat="false" ht="15" hidden="false" customHeight="false" outlineLevel="0" collapsed="false">
      <c r="A439" s="6" t="s">
        <v>438</v>
      </c>
      <c r="B439" s="7" t="n">
        <v>0.040168</v>
      </c>
      <c r="C439" s="7" t="n">
        <f aca="false">((1+B439/100)^21-1)*100</f>
        <v>0.846924918574521</v>
      </c>
    </row>
    <row r="440" customFormat="false" ht="15" hidden="false" customHeight="false" outlineLevel="0" collapsed="false">
      <c r="A440" s="6" t="s">
        <v>439</v>
      </c>
      <c r="B440" s="7" t="n">
        <v>0.040168</v>
      </c>
      <c r="C440" s="7" t="n">
        <f aca="false">((1+B440/100)^21-1)*100</f>
        <v>0.846924918574521</v>
      </c>
    </row>
    <row r="441" customFormat="false" ht="15" hidden="false" customHeight="false" outlineLevel="0" collapsed="false">
      <c r="A441" s="6" t="s">
        <v>440</v>
      </c>
      <c r="B441" s="7" t="n">
        <v>0.040168</v>
      </c>
      <c r="C441" s="7" t="n">
        <f aca="false">((1+B441/100)^21-1)*100</f>
        <v>0.846924918574521</v>
      </c>
    </row>
    <row r="442" customFormat="false" ht="15" hidden="false" customHeight="false" outlineLevel="0" collapsed="false">
      <c r="A442" s="6" t="s">
        <v>441</v>
      </c>
      <c r="B442" s="7" t="n">
        <v>0.040168</v>
      </c>
      <c r="C442" s="7" t="n">
        <f aca="false">((1+B442/100)^21-1)*100</f>
        <v>0.846924918574521</v>
      </c>
    </row>
    <row r="443" customFormat="false" ht="15" hidden="false" customHeight="false" outlineLevel="0" collapsed="false">
      <c r="A443" s="6" t="s">
        <v>442</v>
      </c>
      <c r="B443" s="7" t="n">
        <v>0.040168</v>
      </c>
      <c r="C443" s="7" t="n">
        <f aca="false">((1+B443/100)^21-1)*100</f>
        <v>0.846924918574521</v>
      </c>
    </row>
    <row r="444" customFormat="false" ht="15" hidden="false" customHeight="false" outlineLevel="0" collapsed="false">
      <c r="A444" s="6" t="s">
        <v>443</v>
      </c>
      <c r="B444" s="7" t="n">
        <v>0.040168</v>
      </c>
      <c r="C444" s="7" t="n">
        <f aca="false">((1+B444/100)^21-1)*100</f>
        <v>0.846924918574521</v>
      </c>
    </row>
    <row r="445" customFormat="false" ht="15" hidden="false" customHeight="false" outlineLevel="0" collapsed="false">
      <c r="A445" s="6" t="s">
        <v>444</v>
      </c>
      <c r="B445" s="7" t="n">
        <v>0.040168</v>
      </c>
      <c r="C445" s="7" t="n">
        <f aca="false">((1+B445/100)^21-1)*100</f>
        <v>0.846924918574521</v>
      </c>
    </row>
    <row r="446" customFormat="false" ht="15" hidden="false" customHeight="false" outlineLevel="0" collapsed="false">
      <c r="A446" s="6" t="s">
        <v>445</v>
      </c>
      <c r="B446" s="7" t="n">
        <v>0.040168</v>
      </c>
      <c r="C446" s="7" t="n">
        <f aca="false">((1+B446/100)^21-1)*100</f>
        <v>0.846924918574521</v>
      </c>
    </row>
    <row r="447" customFormat="false" ht="15" hidden="false" customHeight="false" outlineLevel="0" collapsed="false">
      <c r="A447" s="6" t="s">
        <v>446</v>
      </c>
      <c r="B447" s="7" t="n">
        <v>0.040168</v>
      </c>
      <c r="C447" s="7" t="n">
        <f aca="false">((1+B447/100)^21-1)*100</f>
        <v>0.846924918574521</v>
      </c>
    </row>
    <row r="448" customFormat="false" ht="15" hidden="false" customHeight="false" outlineLevel="0" collapsed="false">
      <c r="A448" s="6" t="s">
        <v>447</v>
      </c>
      <c r="B448" s="7" t="n">
        <v>0.040168</v>
      </c>
      <c r="C448" s="7" t="n">
        <f aca="false">((1+B448/100)^21-1)*100</f>
        <v>0.846924918574521</v>
      </c>
    </row>
    <row r="449" customFormat="false" ht="15" hidden="false" customHeight="false" outlineLevel="0" collapsed="false">
      <c r="A449" s="6" t="s">
        <v>448</v>
      </c>
      <c r="B449" s="7" t="n">
        <v>0.040168</v>
      </c>
      <c r="C449" s="7" t="n">
        <f aca="false">((1+B449/100)^21-1)*100</f>
        <v>0.846924918574521</v>
      </c>
    </row>
    <row r="450" customFormat="false" ht="15" hidden="false" customHeight="false" outlineLevel="0" collapsed="false">
      <c r="A450" s="6" t="s">
        <v>449</v>
      </c>
      <c r="B450" s="7" t="n">
        <v>0.040168</v>
      </c>
      <c r="C450" s="7" t="n">
        <f aca="false">((1+B450/100)^21-1)*100</f>
        <v>0.846924918574521</v>
      </c>
    </row>
    <row r="451" customFormat="false" ht="15" hidden="false" customHeight="false" outlineLevel="0" collapsed="false">
      <c r="A451" s="6" t="s">
        <v>450</v>
      </c>
      <c r="B451" s="7" t="n">
        <v>0.040168</v>
      </c>
      <c r="C451" s="7" t="n">
        <f aca="false">((1+B451/100)^21-1)*100</f>
        <v>0.846924918574521</v>
      </c>
    </row>
    <row r="452" customFormat="false" ht="15" hidden="false" customHeight="false" outlineLevel="0" collapsed="false">
      <c r="A452" s="6" t="s">
        <v>451</v>
      </c>
      <c r="B452" s="7" t="n">
        <v>0.040168</v>
      </c>
      <c r="C452" s="7" t="n">
        <f aca="false">((1+B452/100)^21-1)*100</f>
        <v>0.846924918574521</v>
      </c>
    </row>
    <row r="453" customFormat="false" ht="15" hidden="false" customHeight="false" outlineLevel="0" collapsed="false">
      <c r="A453" s="6" t="s">
        <v>452</v>
      </c>
      <c r="B453" s="7" t="n">
        <v>0.040168</v>
      </c>
      <c r="C453" s="7" t="n">
        <f aca="false">((1+B453/100)^21-1)*100</f>
        <v>0.846924918574521</v>
      </c>
    </row>
    <row r="454" customFormat="false" ht="15" hidden="false" customHeight="false" outlineLevel="0" collapsed="false">
      <c r="A454" s="6" t="s">
        <v>453</v>
      </c>
      <c r="B454" s="7" t="n">
        <v>0.040168</v>
      </c>
      <c r="C454" s="7" t="n">
        <f aca="false">((1+B454/100)^21-1)*100</f>
        <v>0.846924918574521</v>
      </c>
    </row>
    <row r="455" customFormat="false" ht="15" hidden="false" customHeight="false" outlineLevel="0" collapsed="false">
      <c r="A455" s="6" t="s">
        <v>454</v>
      </c>
      <c r="B455" s="7" t="n">
        <v>0.040168</v>
      </c>
      <c r="C455" s="7" t="n">
        <f aca="false">((1+B455/100)^21-1)*100</f>
        <v>0.846924918574521</v>
      </c>
    </row>
    <row r="456" customFormat="false" ht="15" hidden="false" customHeight="false" outlineLevel="0" collapsed="false">
      <c r="A456" s="6" t="s">
        <v>455</v>
      </c>
      <c r="B456" s="7" t="n">
        <v>0.040168</v>
      </c>
      <c r="C456" s="7" t="n">
        <f aca="false">((1+B456/100)^21-1)*100</f>
        <v>0.846924918574521</v>
      </c>
    </row>
    <row r="457" customFormat="false" ht="15" hidden="false" customHeight="false" outlineLevel="0" collapsed="false">
      <c r="A457" s="6" t="s">
        <v>456</v>
      </c>
      <c r="B457" s="7" t="n">
        <v>0.040168</v>
      </c>
      <c r="C457" s="7" t="n">
        <f aca="false">((1+B457/100)^21-1)*100</f>
        <v>0.846924918574521</v>
      </c>
    </row>
    <row r="458" customFormat="false" ht="15" hidden="false" customHeight="false" outlineLevel="0" collapsed="false">
      <c r="A458" s="6" t="s">
        <v>457</v>
      </c>
      <c r="B458" s="7" t="n">
        <v>0.040168</v>
      </c>
      <c r="C458" s="7" t="n">
        <f aca="false">((1+B458/100)^21-1)*100</f>
        <v>0.846924918574521</v>
      </c>
    </row>
    <row r="459" customFormat="false" ht="15" hidden="false" customHeight="false" outlineLevel="0" collapsed="false">
      <c r="A459" s="6" t="s">
        <v>458</v>
      </c>
      <c r="B459" s="7" t="n">
        <v>0.040168</v>
      </c>
      <c r="C459" s="7" t="n">
        <f aca="false">((1+B459/100)^21-1)*100</f>
        <v>0.846924918574521</v>
      </c>
    </row>
    <row r="460" customFormat="false" ht="15" hidden="false" customHeight="false" outlineLevel="0" collapsed="false">
      <c r="A460" s="6" t="s">
        <v>459</v>
      </c>
      <c r="B460" s="7" t="n">
        <v>0.040168</v>
      </c>
      <c r="C460" s="7" t="n">
        <f aca="false">((1+B460/100)^21-1)*100</f>
        <v>0.846924918574521</v>
      </c>
    </row>
    <row r="461" customFormat="false" ht="15" hidden="false" customHeight="false" outlineLevel="0" collapsed="false">
      <c r="A461" s="6" t="s">
        <v>460</v>
      </c>
      <c r="B461" s="7" t="n">
        <v>0.040168</v>
      </c>
      <c r="C461" s="7" t="n">
        <f aca="false">((1+B461/100)^21-1)*100</f>
        <v>0.846924918574521</v>
      </c>
    </row>
    <row r="462" customFormat="false" ht="15" hidden="false" customHeight="false" outlineLevel="0" collapsed="false">
      <c r="A462" s="6" t="s">
        <v>461</v>
      </c>
      <c r="B462" s="7" t="n">
        <v>0.040168</v>
      </c>
      <c r="C462" s="7" t="n">
        <f aca="false">((1+B462/100)^21-1)*100</f>
        <v>0.846924918574521</v>
      </c>
    </row>
    <row r="463" customFormat="false" ht="15" hidden="false" customHeight="false" outlineLevel="0" collapsed="false">
      <c r="A463" s="6" t="s">
        <v>462</v>
      </c>
      <c r="B463" s="7" t="n">
        <v>0.040168</v>
      </c>
      <c r="C463" s="7" t="n">
        <f aca="false">((1+B463/100)^21-1)*100</f>
        <v>0.846924918574521</v>
      </c>
    </row>
    <row r="464" customFormat="false" ht="15" hidden="false" customHeight="false" outlineLevel="0" collapsed="false">
      <c r="A464" s="6" t="s">
        <v>463</v>
      </c>
      <c r="B464" s="7" t="n">
        <v>0.040168</v>
      </c>
      <c r="C464" s="7" t="n">
        <f aca="false">((1+B464/100)^21-1)*100</f>
        <v>0.846924918574521</v>
      </c>
    </row>
    <row r="465" customFormat="false" ht="15" hidden="false" customHeight="false" outlineLevel="0" collapsed="false">
      <c r="A465" s="6" t="s">
        <v>464</v>
      </c>
      <c r="B465" s="7" t="n">
        <v>0.040168</v>
      </c>
      <c r="C465" s="7" t="n">
        <f aca="false">((1+B465/100)^21-1)*100</f>
        <v>0.846924918574521</v>
      </c>
    </row>
    <row r="466" customFormat="false" ht="15" hidden="false" customHeight="false" outlineLevel="0" collapsed="false">
      <c r="A466" s="6" t="s">
        <v>465</v>
      </c>
      <c r="B466" s="7" t="n">
        <v>0.040168</v>
      </c>
      <c r="C466" s="7" t="n">
        <f aca="false">((1+B466/100)^21-1)*100</f>
        <v>0.846924918574521</v>
      </c>
    </row>
    <row r="467" customFormat="false" ht="15" hidden="false" customHeight="false" outlineLevel="0" collapsed="false">
      <c r="A467" s="6" t="s">
        <v>466</v>
      </c>
      <c r="B467" s="7" t="n">
        <v>0.040168</v>
      </c>
      <c r="C467" s="7" t="n">
        <f aca="false">((1+B467/100)^21-1)*100</f>
        <v>0.846924918574521</v>
      </c>
    </row>
    <row r="468" customFormat="false" ht="15" hidden="false" customHeight="false" outlineLevel="0" collapsed="false">
      <c r="A468" s="6" t="s">
        <v>467</v>
      </c>
      <c r="B468" s="7" t="n">
        <v>0.040168</v>
      </c>
      <c r="C468" s="7" t="n">
        <f aca="false">((1+B468/100)^21-1)*100</f>
        <v>0.846924918574521</v>
      </c>
    </row>
    <row r="469" customFormat="false" ht="15" hidden="false" customHeight="false" outlineLevel="0" collapsed="false">
      <c r="A469" s="6" t="s">
        <v>468</v>
      </c>
      <c r="B469" s="7" t="n">
        <v>0.040168</v>
      </c>
      <c r="C469" s="7" t="n">
        <f aca="false">((1+B469/100)^21-1)*100</f>
        <v>0.846924918574521</v>
      </c>
    </row>
    <row r="470" customFormat="false" ht="15" hidden="false" customHeight="false" outlineLevel="0" collapsed="false">
      <c r="A470" s="6" t="s">
        <v>469</v>
      </c>
      <c r="B470" s="7" t="n">
        <v>0.040168</v>
      </c>
      <c r="C470" s="7" t="n">
        <f aca="false">((1+B470/100)^21-1)*100</f>
        <v>0.846924918574521</v>
      </c>
    </row>
    <row r="471" customFormat="false" ht="15" hidden="false" customHeight="false" outlineLevel="0" collapsed="false">
      <c r="A471" s="6" t="s">
        <v>470</v>
      </c>
      <c r="B471" s="7" t="n">
        <v>0.040168</v>
      </c>
      <c r="C471" s="7" t="n">
        <f aca="false">((1+B471/100)^21-1)*100</f>
        <v>0.846924918574521</v>
      </c>
    </row>
    <row r="472" customFormat="false" ht="15" hidden="false" customHeight="false" outlineLevel="0" collapsed="false">
      <c r="A472" s="6" t="s">
        <v>471</v>
      </c>
      <c r="B472" s="7" t="n">
        <v>0.040168</v>
      </c>
      <c r="C472" s="7" t="n">
        <f aca="false">((1+B472/100)^21-1)*100</f>
        <v>0.846924918574521</v>
      </c>
    </row>
    <row r="473" customFormat="false" ht="15" hidden="false" customHeight="false" outlineLevel="0" collapsed="false">
      <c r="A473" s="6" t="s">
        <v>472</v>
      </c>
      <c r="B473" s="7" t="n">
        <v>0.040168</v>
      </c>
      <c r="C473" s="7" t="n">
        <f aca="false">((1+B473/100)^21-1)*100</f>
        <v>0.846924918574521</v>
      </c>
    </row>
    <row r="474" customFormat="false" ht="15" hidden="false" customHeight="false" outlineLevel="0" collapsed="false">
      <c r="A474" s="6" t="s">
        <v>473</v>
      </c>
      <c r="B474" s="7" t="n">
        <v>0.041957</v>
      </c>
      <c r="C474" s="7" t="n">
        <f aca="false">((1+B474/100)^21-1)*100</f>
        <v>0.884803660726852</v>
      </c>
    </row>
    <row r="475" customFormat="false" ht="15" hidden="false" customHeight="false" outlineLevel="0" collapsed="false">
      <c r="A475" s="6" t="s">
        <v>474</v>
      </c>
      <c r="B475" s="7" t="n">
        <v>0.041957</v>
      </c>
      <c r="C475" s="7" t="n">
        <f aca="false">((1+B475/100)^21-1)*100</f>
        <v>0.884803660726852</v>
      </c>
    </row>
    <row r="476" customFormat="false" ht="15" hidden="false" customHeight="false" outlineLevel="0" collapsed="false">
      <c r="A476" s="6" t="s">
        <v>475</v>
      </c>
      <c r="B476" s="7" t="n">
        <v>0.041957</v>
      </c>
      <c r="C476" s="7" t="n">
        <f aca="false">((1+B476/100)^21-1)*100</f>
        <v>0.884803660726852</v>
      </c>
    </row>
    <row r="477" customFormat="false" ht="15" hidden="false" customHeight="false" outlineLevel="0" collapsed="false">
      <c r="A477" s="6" t="s">
        <v>476</v>
      </c>
      <c r="B477" s="7" t="n">
        <v>0.041957</v>
      </c>
      <c r="C477" s="7" t="n">
        <f aca="false">((1+B477/100)^21-1)*100</f>
        <v>0.884803660726852</v>
      </c>
    </row>
    <row r="478" customFormat="false" ht="15" hidden="false" customHeight="false" outlineLevel="0" collapsed="false">
      <c r="A478" s="6" t="s">
        <v>477</v>
      </c>
      <c r="B478" s="7" t="n">
        <v>0.041957</v>
      </c>
      <c r="C478" s="7" t="n">
        <f aca="false">((1+B478/100)^21-1)*100</f>
        <v>0.884803660726852</v>
      </c>
    </row>
    <row r="479" customFormat="false" ht="15" hidden="false" customHeight="false" outlineLevel="0" collapsed="false">
      <c r="A479" s="6" t="s">
        <v>478</v>
      </c>
      <c r="B479" s="7" t="n">
        <v>0.041957</v>
      </c>
      <c r="C479" s="7" t="n">
        <f aca="false">((1+B479/100)^21-1)*100</f>
        <v>0.884803660726852</v>
      </c>
    </row>
    <row r="480" customFormat="false" ht="15" hidden="false" customHeight="false" outlineLevel="0" collapsed="false">
      <c r="A480" s="6" t="s">
        <v>479</v>
      </c>
      <c r="B480" s="7" t="n">
        <v>0.041957</v>
      </c>
      <c r="C480" s="7" t="n">
        <f aca="false">((1+B480/100)^21-1)*100</f>
        <v>0.884803660726852</v>
      </c>
    </row>
    <row r="481" customFormat="false" ht="15" hidden="false" customHeight="false" outlineLevel="0" collapsed="false">
      <c r="A481" s="6" t="s">
        <v>480</v>
      </c>
      <c r="B481" s="7" t="n">
        <v>0.041957</v>
      </c>
      <c r="C481" s="7" t="n">
        <f aca="false">((1+B481/100)^21-1)*100</f>
        <v>0.884803660726852</v>
      </c>
    </row>
    <row r="482" customFormat="false" ht="15" hidden="false" customHeight="false" outlineLevel="0" collapsed="false">
      <c r="A482" s="6" t="s">
        <v>481</v>
      </c>
      <c r="B482" s="7" t="n">
        <v>0.041957</v>
      </c>
      <c r="C482" s="7" t="n">
        <f aca="false">((1+B482/100)^21-1)*100</f>
        <v>0.884803660726852</v>
      </c>
    </row>
    <row r="483" customFormat="false" ht="15" hidden="false" customHeight="false" outlineLevel="0" collapsed="false">
      <c r="A483" s="6" t="s">
        <v>482</v>
      </c>
      <c r="B483" s="7" t="n">
        <v>0.041957</v>
      </c>
      <c r="C483" s="7" t="n">
        <f aca="false">((1+B483/100)^21-1)*100</f>
        <v>0.884803660726852</v>
      </c>
    </row>
    <row r="484" customFormat="false" ht="15" hidden="false" customHeight="false" outlineLevel="0" collapsed="false">
      <c r="A484" s="6" t="s">
        <v>483</v>
      </c>
      <c r="B484" s="7" t="n">
        <v>0.041957</v>
      </c>
      <c r="C484" s="7" t="n">
        <f aca="false">((1+B484/100)^21-1)*100</f>
        <v>0.884803660726852</v>
      </c>
    </row>
    <row r="485" customFormat="false" ht="15" hidden="false" customHeight="false" outlineLevel="0" collapsed="false">
      <c r="A485" s="6" t="s">
        <v>484</v>
      </c>
      <c r="B485" s="7" t="n">
        <v>0.041957</v>
      </c>
      <c r="C485" s="7" t="n">
        <f aca="false">((1+B485/100)^21-1)*100</f>
        <v>0.884803660726852</v>
      </c>
    </row>
    <row r="486" customFormat="false" ht="15" hidden="false" customHeight="false" outlineLevel="0" collapsed="false">
      <c r="A486" s="6" t="s">
        <v>485</v>
      </c>
      <c r="B486" s="7" t="n">
        <v>0.041957</v>
      </c>
      <c r="C486" s="7" t="n">
        <f aca="false">((1+B486/100)^21-1)*100</f>
        <v>0.884803660726852</v>
      </c>
    </row>
    <row r="487" customFormat="false" ht="15" hidden="false" customHeight="false" outlineLevel="0" collapsed="false">
      <c r="A487" s="6" t="s">
        <v>486</v>
      </c>
      <c r="B487" s="7" t="n">
        <v>0.041957</v>
      </c>
      <c r="C487" s="7" t="n">
        <f aca="false">((1+B487/100)^21-1)*100</f>
        <v>0.884803660726852</v>
      </c>
    </row>
    <row r="488" customFormat="false" ht="15" hidden="false" customHeight="false" outlineLevel="0" collapsed="false">
      <c r="A488" s="6" t="s">
        <v>487</v>
      </c>
      <c r="B488" s="7" t="n">
        <v>0.041957</v>
      </c>
      <c r="C488" s="7" t="n">
        <f aca="false">((1+B488/100)^21-1)*100</f>
        <v>0.884803660726852</v>
      </c>
    </row>
    <row r="489" customFormat="false" ht="15" hidden="false" customHeight="false" outlineLevel="0" collapsed="false">
      <c r="A489" s="6" t="s">
        <v>488</v>
      </c>
      <c r="B489" s="7" t="n">
        <v>0.041957</v>
      </c>
      <c r="C489" s="7" t="n">
        <f aca="false">((1+B489/100)^21-1)*100</f>
        <v>0.884803660726852</v>
      </c>
    </row>
    <row r="490" customFormat="false" ht="15" hidden="false" customHeight="false" outlineLevel="0" collapsed="false">
      <c r="A490" s="6" t="s">
        <v>489</v>
      </c>
      <c r="B490" s="7" t="n">
        <v>0.041957</v>
      </c>
      <c r="C490" s="7" t="n">
        <f aca="false">((1+B490/100)^21-1)*100</f>
        <v>0.884803660726852</v>
      </c>
    </row>
    <row r="491" customFormat="false" ht="15" hidden="false" customHeight="false" outlineLevel="0" collapsed="false">
      <c r="A491" s="6" t="s">
        <v>490</v>
      </c>
      <c r="B491" s="7" t="n">
        <v>0.041957</v>
      </c>
      <c r="C491" s="7" t="n">
        <f aca="false">((1+B491/100)^21-1)*100</f>
        <v>0.884803660726852</v>
      </c>
    </row>
    <row r="492" customFormat="false" ht="15" hidden="false" customHeight="false" outlineLevel="0" collapsed="false">
      <c r="A492" s="6" t="s">
        <v>491</v>
      </c>
      <c r="B492" s="7" t="n">
        <v>0.041957</v>
      </c>
      <c r="C492" s="7" t="n">
        <f aca="false">((1+B492/100)^21-1)*100</f>
        <v>0.884803660726852</v>
      </c>
    </row>
    <row r="493" customFormat="false" ht="15" hidden="false" customHeight="false" outlineLevel="0" collapsed="false">
      <c r="A493" s="6" t="s">
        <v>492</v>
      </c>
      <c r="B493" s="7" t="n">
        <v>0.041957</v>
      </c>
      <c r="C493" s="7" t="n">
        <f aca="false">((1+B493/100)^21-1)*100</f>
        <v>0.884803660726852</v>
      </c>
    </row>
    <row r="494" customFormat="false" ht="15" hidden="false" customHeight="false" outlineLevel="0" collapsed="false">
      <c r="A494" s="6" t="s">
        <v>493</v>
      </c>
      <c r="B494" s="7" t="n">
        <v>0.041957</v>
      </c>
      <c r="C494" s="7" t="n">
        <f aca="false">((1+B494/100)^21-1)*100</f>
        <v>0.884803660726852</v>
      </c>
    </row>
    <row r="495" customFormat="false" ht="15" hidden="false" customHeight="false" outlineLevel="0" collapsed="false">
      <c r="A495" s="6" t="s">
        <v>494</v>
      </c>
      <c r="B495" s="7" t="n">
        <v>0.041957</v>
      </c>
      <c r="C495" s="7" t="n">
        <f aca="false">((1+B495/100)^21-1)*100</f>
        <v>0.884803660726852</v>
      </c>
    </row>
    <row r="496" customFormat="false" ht="15" hidden="false" customHeight="false" outlineLevel="0" collapsed="false">
      <c r="A496" s="6" t="s">
        <v>495</v>
      </c>
      <c r="B496" s="7" t="n">
        <v>0.041957</v>
      </c>
      <c r="C496" s="7" t="n">
        <f aca="false">((1+B496/100)^21-1)*100</f>
        <v>0.884803660726852</v>
      </c>
    </row>
    <row r="497" customFormat="false" ht="15" hidden="false" customHeight="false" outlineLevel="0" collapsed="false">
      <c r="A497" s="6" t="s">
        <v>496</v>
      </c>
      <c r="B497" s="7" t="n">
        <v>0.045513</v>
      </c>
      <c r="C497" s="7" t="n">
        <f aca="false">((1+B497/100)^21-1)*100</f>
        <v>0.9601355742346</v>
      </c>
    </row>
    <row r="498" customFormat="false" ht="15" hidden="false" customHeight="false" outlineLevel="0" collapsed="false">
      <c r="A498" s="6" t="s">
        <v>497</v>
      </c>
      <c r="B498" s="7" t="n">
        <v>0.045513</v>
      </c>
      <c r="C498" s="7" t="n">
        <f aca="false">((1+B498/100)^21-1)*100</f>
        <v>0.9601355742346</v>
      </c>
    </row>
    <row r="499" customFormat="false" ht="15" hidden="false" customHeight="false" outlineLevel="0" collapsed="false">
      <c r="A499" s="6" t="s">
        <v>498</v>
      </c>
      <c r="B499" s="7" t="n">
        <v>0.045513</v>
      </c>
      <c r="C499" s="7" t="n">
        <f aca="false">((1+B499/100)^21-1)*100</f>
        <v>0.9601355742346</v>
      </c>
    </row>
    <row r="500" customFormat="false" ht="15" hidden="false" customHeight="false" outlineLevel="0" collapsed="false">
      <c r="A500" s="6" t="s">
        <v>499</v>
      </c>
      <c r="B500" s="7" t="n">
        <v>0.045513</v>
      </c>
      <c r="C500" s="7" t="n">
        <f aca="false">((1+B500/100)^21-1)*100</f>
        <v>0.9601355742346</v>
      </c>
    </row>
    <row r="501" customFormat="false" ht="15" hidden="false" customHeight="false" outlineLevel="0" collapsed="false">
      <c r="A501" s="6" t="s">
        <v>500</v>
      </c>
      <c r="B501" s="7" t="n">
        <v>0.045513</v>
      </c>
      <c r="C501" s="7" t="n">
        <f aca="false">((1+B501/100)^21-1)*100</f>
        <v>0.9601355742346</v>
      </c>
    </row>
    <row r="502" customFormat="false" ht="15" hidden="false" customHeight="false" outlineLevel="0" collapsed="false">
      <c r="A502" s="6" t="s">
        <v>501</v>
      </c>
      <c r="B502" s="7" t="n">
        <v>0.045513</v>
      </c>
      <c r="C502" s="7" t="n">
        <f aca="false">((1+B502/100)^21-1)*100</f>
        <v>0.9601355742346</v>
      </c>
    </row>
    <row r="503" customFormat="false" ht="15" hidden="false" customHeight="false" outlineLevel="0" collapsed="false">
      <c r="A503" s="6" t="s">
        <v>502</v>
      </c>
      <c r="B503" s="7" t="n">
        <v>0.045513</v>
      </c>
      <c r="C503" s="7" t="n">
        <f aca="false">((1+B503/100)^21-1)*100</f>
        <v>0.9601355742346</v>
      </c>
    </row>
    <row r="504" customFormat="false" ht="15" hidden="false" customHeight="false" outlineLevel="0" collapsed="false">
      <c r="A504" s="6" t="s">
        <v>503</v>
      </c>
      <c r="B504" s="7" t="n">
        <v>0.045513</v>
      </c>
      <c r="C504" s="7" t="n">
        <f aca="false">((1+B504/100)^21-1)*100</f>
        <v>0.9601355742346</v>
      </c>
    </row>
    <row r="505" customFormat="false" ht="15" hidden="false" customHeight="false" outlineLevel="0" collapsed="false">
      <c r="A505" s="6" t="s">
        <v>504</v>
      </c>
      <c r="B505" s="7" t="n">
        <v>0.045513</v>
      </c>
      <c r="C505" s="7" t="n">
        <f aca="false">((1+B505/100)^21-1)*100</f>
        <v>0.9601355742346</v>
      </c>
    </row>
    <row r="506" customFormat="false" ht="15" hidden="false" customHeight="false" outlineLevel="0" collapsed="false">
      <c r="A506" s="6" t="s">
        <v>505</v>
      </c>
      <c r="B506" s="7" t="n">
        <v>0.045513</v>
      </c>
      <c r="C506" s="7" t="n">
        <f aca="false">((1+B506/100)^21-1)*100</f>
        <v>0.9601355742346</v>
      </c>
    </row>
    <row r="507" customFormat="false" ht="15" hidden="false" customHeight="false" outlineLevel="0" collapsed="false">
      <c r="A507" s="6" t="s">
        <v>506</v>
      </c>
      <c r="B507" s="7" t="n">
        <v>0.045513</v>
      </c>
      <c r="C507" s="7" t="n">
        <f aca="false">((1+B507/100)^21-1)*100</f>
        <v>0.9601355742346</v>
      </c>
    </row>
    <row r="508" customFormat="false" ht="15" hidden="false" customHeight="false" outlineLevel="0" collapsed="false">
      <c r="A508" s="6" t="s">
        <v>507</v>
      </c>
      <c r="B508" s="7" t="n">
        <v>0.045513</v>
      </c>
      <c r="C508" s="7" t="n">
        <f aca="false">((1+B508/100)^21-1)*100</f>
        <v>0.9601355742346</v>
      </c>
    </row>
    <row r="509" customFormat="false" ht="15" hidden="false" customHeight="false" outlineLevel="0" collapsed="false">
      <c r="A509" s="6" t="s">
        <v>508</v>
      </c>
      <c r="B509" s="7" t="n">
        <v>0.045513</v>
      </c>
      <c r="C509" s="7" t="n">
        <f aca="false">((1+B509/100)^21-1)*100</f>
        <v>0.9601355742346</v>
      </c>
    </row>
    <row r="510" customFormat="false" ht="15" hidden="false" customHeight="false" outlineLevel="0" collapsed="false">
      <c r="A510" s="6" t="s">
        <v>509</v>
      </c>
      <c r="B510" s="7" t="n">
        <v>0.045513</v>
      </c>
      <c r="C510" s="7" t="n">
        <f aca="false">((1+B510/100)^21-1)*100</f>
        <v>0.9601355742346</v>
      </c>
    </row>
    <row r="511" customFormat="false" ht="15" hidden="false" customHeight="false" outlineLevel="0" collapsed="false">
      <c r="A511" s="6" t="s">
        <v>510</v>
      </c>
      <c r="B511" s="7" t="n">
        <v>0.045513</v>
      </c>
      <c r="C511" s="7" t="n">
        <f aca="false">((1+B511/100)^21-1)*100</f>
        <v>0.9601355742346</v>
      </c>
    </row>
    <row r="512" customFormat="false" ht="15" hidden="false" customHeight="false" outlineLevel="0" collapsed="false">
      <c r="A512" s="6" t="s">
        <v>511</v>
      </c>
      <c r="B512" s="7" t="n">
        <v>0.045513</v>
      </c>
      <c r="C512" s="7" t="n">
        <f aca="false">((1+B512/100)^21-1)*100</f>
        <v>0.9601355742346</v>
      </c>
    </row>
    <row r="513" customFormat="false" ht="15" hidden="false" customHeight="false" outlineLevel="0" collapsed="false">
      <c r="A513" s="6" t="s">
        <v>512</v>
      </c>
      <c r="B513" s="7" t="n">
        <v>0.045513</v>
      </c>
      <c r="C513" s="7" t="n">
        <f aca="false">((1+B513/100)^21-1)*100</f>
        <v>0.9601355742346</v>
      </c>
    </row>
    <row r="514" customFormat="false" ht="15" hidden="false" customHeight="false" outlineLevel="0" collapsed="false">
      <c r="A514" s="6" t="s">
        <v>513</v>
      </c>
      <c r="B514" s="7" t="n">
        <v>0.045513</v>
      </c>
      <c r="C514" s="7" t="n">
        <f aca="false">((1+B514/100)^21-1)*100</f>
        <v>0.9601355742346</v>
      </c>
    </row>
    <row r="515" customFormat="false" ht="15" hidden="false" customHeight="false" outlineLevel="0" collapsed="false">
      <c r="A515" s="6" t="s">
        <v>514</v>
      </c>
      <c r="B515" s="7" t="n">
        <v>0.045513</v>
      </c>
      <c r="C515" s="7" t="n">
        <f aca="false">((1+B515/100)^21-1)*100</f>
        <v>0.9601355742346</v>
      </c>
    </row>
    <row r="516" customFormat="false" ht="15" hidden="false" customHeight="false" outlineLevel="0" collapsed="false">
      <c r="A516" s="6" t="s">
        <v>515</v>
      </c>
      <c r="B516" s="7" t="n">
        <v>0.045513</v>
      </c>
      <c r="C516" s="7" t="n">
        <f aca="false">((1+B516/100)^21-1)*100</f>
        <v>0.9601355742346</v>
      </c>
    </row>
    <row r="517" customFormat="false" ht="15" hidden="false" customHeight="false" outlineLevel="0" collapsed="false">
      <c r="A517" s="6" t="s">
        <v>516</v>
      </c>
      <c r="B517" s="7" t="n">
        <v>0.045513</v>
      </c>
      <c r="C517" s="7" t="n">
        <f aca="false">((1+B517/100)^21-1)*100</f>
        <v>0.9601355742346</v>
      </c>
    </row>
    <row r="518" customFormat="false" ht="15" hidden="false" customHeight="false" outlineLevel="0" collapsed="false">
      <c r="A518" s="6" t="s">
        <v>517</v>
      </c>
      <c r="B518" s="7" t="n">
        <v>0.045513</v>
      </c>
      <c r="C518" s="7" t="n">
        <f aca="false">((1+B518/100)^21-1)*100</f>
        <v>0.9601355742346</v>
      </c>
    </row>
    <row r="519" customFormat="false" ht="15" hidden="false" customHeight="false" outlineLevel="0" collapsed="false">
      <c r="A519" s="6" t="s">
        <v>518</v>
      </c>
      <c r="B519" s="7" t="n">
        <v>0.045513</v>
      </c>
      <c r="C519" s="7" t="n">
        <f aca="false">((1+B519/100)^21-1)*100</f>
        <v>0.9601355742346</v>
      </c>
    </row>
    <row r="520" customFormat="false" ht="15" hidden="false" customHeight="false" outlineLevel="0" collapsed="false">
      <c r="A520" s="6" t="s">
        <v>519</v>
      </c>
      <c r="B520" s="7" t="n">
        <v>0.045513</v>
      </c>
      <c r="C520" s="7" t="n">
        <f aca="false">((1+B520/100)^21-1)*100</f>
        <v>0.9601355742346</v>
      </c>
    </row>
    <row r="521" customFormat="false" ht="15" hidden="false" customHeight="false" outlineLevel="0" collapsed="false">
      <c r="A521" s="6" t="s">
        <v>520</v>
      </c>
      <c r="B521" s="7" t="n">
        <v>0.045513</v>
      </c>
      <c r="C521" s="7" t="n">
        <f aca="false">((1+B521/100)^21-1)*100</f>
        <v>0.9601355742346</v>
      </c>
    </row>
    <row r="522" customFormat="false" ht="15" hidden="false" customHeight="false" outlineLevel="0" collapsed="false">
      <c r="A522" s="6" t="s">
        <v>521</v>
      </c>
      <c r="B522" s="7" t="n">
        <v>0.045513</v>
      </c>
      <c r="C522" s="7" t="n">
        <f aca="false">((1+B522/100)^21-1)*100</f>
        <v>0.9601355742346</v>
      </c>
    </row>
    <row r="523" customFormat="false" ht="15" hidden="false" customHeight="false" outlineLevel="0" collapsed="false">
      <c r="A523" s="6" t="s">
        <v>522</v>
      </c>
      <c r="B523" s="7" t="n">
        <v>0.045513</v>
      </c>
      <c r="C523" s="7" t="n">
        <f aca="false">((1+B523/100)^21-1)*100</f>
        <v>0.9601355742346</v>
      </c>
    </row>
    <row r="524" customFormat="false" ht="15" hidden="false" customHeight="false" outlineLevel="0" collapsed="false">
      <c r="A524" s="6" t="s">
        <v>523</v>
      </c>
      <c r="B524" s="7" t="n">
        <v>0.045513</v>
      </c>
      <c r="C524" s="7" t="n">
        <f aca="false">((1+B524/100)^21-1)*100</f>
        <v>0.9601355742346</v>
      </c>
    </row>
    <row r="525" customFormat="false" ht="15" hidden="false" customHeight="false" outlineLevel="0" collapsed="false">
      <c r="A525" s="6" t="s">
        <v>524</v>
      </c>
      <c r="B525" s="7" t="n">
        <v>0.045513</v>
      </c>
      <c r="C525" s="7" t="n">
        <f aca="false">((1+B525/100)^21-1)*100</f>
        <v>0.9601355742346</v>
      </c>
    </row>
    <row r="526" customFormat="false" ht="15" hidden="false" customHeight="false" outlineLevel="0" collapsed="false">
      <c r="A526" s="6" t="s">
        <v>525</v>
      </c>
      <c r="B526" s="7" t="n">
        <v>0.045513</v>
      </c>
      <c r="C526" s="7" t="n">
        <f aca="false">((1+B526/100)^21-1)*100</f>
        <v>0.9601355742346</v>
      </c>
    </row>
    <row r="527" customFormat="false" ht="15" hidden="false" customHeight="false" outlineLevel="0" collapsed="false">
      <c r="A527" s="6" t="s">
        <v>526</v>
      </c>
      <c r="B527" s="7" t="n">
        <v>0.045513</v>
      </c>
      <c r="C527" s="7" t="n">
        <f aca="false">((1+B527/100)^21-1)*100</f>
        <v>0.9601355742346</v>
      </c>
    </row>
    <row r="528" customFormat="false" ht="15" hidden="false" customHeight="false" outlineLevel="0" collapsed="false">
      <c r="A528" s="6" t="s">
        <v>527</v>
      </c>
      <c r="B528" s="7" t="n">
        <v>0.045513</v>
      </c>
      <c r="C528" s="7" t="n">
        <f aca="false">((1+B528/100)^21-1)*100</f>
        <v>0.9601355742346</v>
      </c>
    </row>
    <row r="529" customFormat="false" ht="15" hidden="false" customHeight="false" outlineLevel="0" collapsed="false">
      <c r="A529" s="6" t="s">
        <v>528</v>
      </c>
      <c r="B529" s="7" t="n">
        <v>0.045513</v>
      </c>
      <c r="C529" s="7" t="n">
        <f aca="false">((1+B529/100)^21-1)*100</f>
        <v>0.9601355742346</v>
      </c>
    </row>
    <row r="530" customFormat="false" ht="15" hidden="false" customHeight="false" outlineLevel="0" collapsed="false">
      <c r="A530" s="6" t="s">
        <v>529</v>
      </c>
      <c r="B530" s="7" t="n">
        <v>0.049037</v>
      </c>
      <c r="C530" s="7" t="n">
        <f aca="false">((1+B530/100)^21-1)*100</f>
        <v>1.03484243492922</v>
      </c>
    </row>
    <row r="531" customFormat="false" ht="15" hidden="false" customHeight="false" outlineLevel="0" collapsed="false">
      <c r="A531" s="6" t="s">
        <v>530</v>
      </c>
      <c r="B531" s="7" t="n">
        <v>0.049037</v>
      </c>
      <c r="C531" s="7" t="n">
        <f aca="false">((1+B531/100)^21-1)*100</f>
        <v>1.03484243492922</v>
      </c>
    </row>
    <row r="532" customFormat="false" ht="15" hidden="false" customHeight="false" outlineLevel="0" collapsed="false">
      <c r="A532" s="6" t="s">
        <v>531</v>
      </c>
      <c r="B532" s="7" t="n">
        <v>0.049037</v>
      </c>
      <c r="C532" s="7" t="n">
        <f aca="false">((1+B532/100)^21-1)*100</f>
        <v>1.03484243492922</v>
      </c>
    </row>
    <row r="533" customFormat="false" ht="15" hidden="false" customHeight="false" outlineLevel="0" collapsed="false">
      <c r="A533" s="6" t="s">
        <v>532</v>
      </c>
      <c r="B533" s="7" t="n">
        <v>0.049037</v>
      </c>
      <c r="C533" s="7" t="n">
        <f aca="false">((1+B533/100)^21-1)*100</f>
        <v>1.03484243492922</v>
      </c>
    </row>
    <row r="534" customFormat="false" ht="15" hidden="false" customHeight="false" outlineLevel="0" collapsed="false">
      <c r="A534" s="6" t="s">
        <v>533</v>
      </c>
      <c r="B534" s="7" t="n">
        <v>0.049037</v>
      </c>
      <c r="C534" s="7" t="n">
        <f aca="false">((1+B534/100)^21-1)*100</f>
        <v>1.03484243492922</v>
      </c>
    </row>
    <row r="535" customFormat="false" ht="15" hidden="false" customHeight="false" outlineLevel="0" collapsed="false">
      <c r="A535" s="6" t="s">
        <v>534</v>
      </c>
      <c r="B535" s="7" t="n">
        <v>0.049037</v>
      </c>
      <c r="C535" s="7" t="n">
        <f aca="false">((1+B535/100)^21-1)*100</f>
        <v>1.03484243492922</v>
      </c>
    </row>
    <row r="536" customFormat="false" ht="15" hidden="false" customHeight="false" outlineLevel="0" collapsed="false">
      <c r="A536" s="6" t="s">
        <v>535</v>
      </c>
      <c r="B536" s="7" t="n">
        <v>0.049037</v>
      </c>
      <c r="C536" s="7" t="n">
        <f aca="false">((1+B536/100)^21-1)*100</f>
        <v>1.03484243492922</v>
      </c>
    </row>
    <row r="537" customFormat="false" ht="15" hidden="false" customHeight="false" outlineLevel="0" collapsed="false">
      <c r="A537" s="6" t="s">
        <v>536</v>
      </c>
      <c r="B537" s="7" t="n">
        <v>0.049037</v>
      </c>
      <c r="C537" s="7" t="n">
        <f aca="false">((1+B537/100)^21-1)*100</f>
        <v>1.03484243492922</v>
      </c>
    </row>
    <row r="538" customFormat="false" ht="15" hidden="false" customHeight="false" outlineLevel="0" collapsed="false">
      <c r="A538" s="6" t="s">
        <v>537</v>
      </c>
      <c r="B538" s="7" t="n">
        <v>0.049037</v>
      </c>
      <c r="C538" s="7" t="n">
        <f aca="false">((1+B538/100)^21-1)*100</f>
        <v>1.03484243492922</v>
      </c>
    </row>
    <row r="539" customFormat="false" ht="15" hidden="false" customHeight="false" outlineLevel="0" collapsed="false">
      <c r="A539" s="6" t="s">
        <v>538</v>
      </c>
      <c r="B539" s="7" t="n">
        <v>0.049037</v>
      </c>
      <c r="C539" s="7" t="n">
        <f aca="false">((1+B539/100)^21-1)*100</f>
        <v>1.03484243492922</v>
      </c>
    </row>
    <row r="540" customFormat="false" ht="15" hidden="false" customHeight="false" outlineLevel="0" collapsed="false">
      <c r="A540" s="6" t="s">
        <v>539</v>
      </c>
      <c r="B540" s="7" t="n">
        <v>0.049037</v>
      </c>
      <c r="C540" s="7" t="n">
        <f aca="false">((1+B540/100)^21-1)*100</f>
        <v>1.03484243492922</v>
      </c>
    </row>
    <row r="541" customFormat="false" ht="15" hidden="false" customHeight="false" outlineLevel="0" collapsed="false">
      <c r="A541" s="6" t="s">
        <v>540</v>
      </c>
      <c r="B541" s="7" t="n">
        <v>0.049037</v>
      </c>
      <c r="C541" s="7" t="n">
        <f aca="false">((1+B541/100)^21-1)*100</f>
        <v>1.03484243492922</v>
      </c>
    </row>
    <row r="542" customFormat="false" ht="15" hidden="false" customHeight="false" outlineLevel="0" collapsed="false">
      <c r="A542" s="6" t="s">
        <v>541</v>
      </c>
      <c r="B542" s="7" t="n">
        <v>0.049037</v>
      </c>
      <c r="C542" s="7" t="n">
        <f aca="false">((1+B542/100)^21-1)*100</f>
        <v>1.03484243492922</v>
      </c>
    </row>
    <row r="543" customFormat="false" ht="15" hidden="false" customHeight="false" outlineLevel="0" collapsed="false">
      <c r="A543" s="6" t="s">
        <v>542</v>
      </c>
      <c r="B543" s="7" t="n">
        <v>0.049037</v>
      </c>
      <c r="C543" s="7" t="n">
        <f aca="false">((1+B543/100)^21-1)*100</f>
        <v>1.03484243492922</v>
      </c>
    </row>
    <row r="544" customFormat="false" ht="15" hidden="false" customHeight="false" outlineLevel="0" collapsed="false">
      <c r="A544" s="6" t="s">
        <v>543</v>
      </c>
      <c r="B544" s="7" t="n">
        <v>0.049037</v>
      </c>
      <c r="C544" s="7" t="n">
        <f aca="false">((1+B544/100)^21-1)*100</f>
        <v>1.03484243492922</v>
      </c>
    </row>
    <row r="545" customFormat="false" ht="15" hidden="false" customHeight="false" outlineLevel="0" collapsed="false">
      <c r="A545" s="6" t="s">
        <v>544</v>
      </c>
      <c r="B545" s="7" t="n">
        <v>0.049037</v>
      </c>
      <c r="C545" s="7" t="n">
        <f aca="false">((1+B545/100)^21-1)*100</f>
        <v>1.03484243492922</v>
      </c>
    </row>
    <row r="546" customFormat="false" ht="15" hidden="false" customHeight="false" outlineLevel="0" collapsed="false">
      <c r="A546" s="6" t="s">
        <v>545</v>
      </c>
      <c r="B546" s="7" t="n">
        <v>0.049037</v>
      </c>
      <c r="C546" s="7" t="n">
        <f aca="false">((1+B546/100)^21-1)*100</f>
        <v>1.03484243492922</v>
      </c>
    </row>
    <row r="547" customFormat="false" ht="15" hidden="false" customHeight="false" outlineLevel="0" collapsed="false">
      <c r="A547" s="6" t="s">
        <v>546</v>
      </c>
      <c r="B547" s="7" t="n">
        <v>0.049037</v>
      </c>
      <c r="C547" s="7" t="n">
        <f aca="false">((1+B547/100)^21-1)*100</f>
        <v>1.03484243492922</v>
      </c>
    </row>
    <row r="548" customFormat="false" ht="15" hidden="false" customHeight="false" outlineLevel="0" collapsed="false">
      <c r="A548" s="6" t="s">
        <v>547</v>
      </c>
      <c r="B548" s="7" t="n">
        <v>0.049037</v>
      </c>
      <c r="C548" s="7" t="n">
        <f aca="false">((1+B548/100)^21-1)*100</f>
        <v>1.03484243492922</v>
      </c>
    </row>
    <row r="549" customFormat="false" ht="15" hidden="false" customHeight="false" outlineLevel="0" collapsed="false">
      <c r="A549" s="6" t="s">
        <v>548</v>
      </c>
      <c r="B549" s="7" t="n">
        <v>0.049037</v>
      </c>
      <c r="C549" s="7" t="n">
        <f aca="false">((1+B549/100)^21-1)*100</f>
        <v>1.03484243492922</v>
      </c>
    </row>
    <row r="550" customFormat="false" ht="15" hidden="false" customHeight="false" outlineLevel="0" collapsed="false">
      <c r="A550" s="6" t="s">
        <v>549</v>
      </c>
      <c r="B550" s="7" t="n">
        <v>0.049037</v>
      </c>
      <c r="C550" s="7" t="n">
        <f aca="false">((1+B550/100)^21-1)*100</f>
        <v>1.03484243492922</v>
      </c>
    </row>
    <row r="551" customFormat="false" ht="15" hidden="false" customHeight="false" outlineLevel="0" collapsed="false">
      <c r="A551" s="6" t="s">
        <v>550</v>
      </c>
      <c r="B551" s="7" t="n">
        <v>0.049037</v>
      </c>
      <c r="C551" s="7" t="n">
        <f aca="false">((1+B551/100)^21-1)*100</f>
        <v>1.03484243492922</v>
      </c>
    </row>
    <row r="552" customFormat="false" ht="15" hidden="false" customHeight="false" outlineLevel="0" collapsed="false">
      <c r="A552" s="6" t="s">
        <v>551</v>
      </c>
      <c r="B552" s="7" t="n">
        <v>0.049037</v>
      </c>
      <c r="C552" s="7" t="n">
        <f aca="false">((1+B552/100)^21-1)*100</f>
        <v>1.03484243492922</v>
      </c>
    </row>
    <row r="553" customFormat="false" ht="15" hidden="false" customHeight="false" outlineLevel="0" collapsed="false">
      <c r="A553" s="6" t="s">
        <v>552</v>
      </c>
      <c r="B553" s="7" t="n">
        <v>0.049037</v>
      </c>
      <c r="C553" s="7" t="n">
        <f aca="false">((1+B553/100)^21-1)*100</f>
        <v>1.03484243492922</v>
      </c>
    </row>
    <row r="554" customFormat="false" ht="15" hidden="false" customHeight="false" outlineLevel="0" collapsed="false">
      <c r="A554" s="6" t="s">
        <v>553</v>
      </c>
      <c r="B554" s="7" t="n">
        <v>0.049037</v>
      </c>
      <c r="C554" s="7" t="n">
        <f aca="false">((1+B554/100)^21-1)*100</f>
        <v>1.03484243492922</v>
      </c>
    </row>
    <row r="555" customFormat="false" ht="15" hidden="false" customHeight="false" outlineLevel="0" collapsed="false">
      <c r="A555" s="6" t="s">
        <v>554</v>
      </c>
      <c r="B555" s="7" t="n">
        <v>0.049037</v>
      </c>
      <c r="C555" s="7" t="n">
        <f aca="false">((1+B555/100)^21-1)*100</f>
        <v>1.03484243492922</v>
      </c>
    </row>
    <row r="556" customFormat="false" ht="15" hidden="false" customHeight="false" outlineLevel="0" collapsed="false">
      <c r="A556" s="6" t="s">
        <v>555</v>
      </c>
      <c r="B556" s="7" t="n">
        <v>0.049037</v>
      </c>
      <c r="C556" s="7" t="n">
        <f aca="false">((1+B556/100)^21-1)*100</f>
        <v>1.03484243492922</v>
      </c>
    </row>
    <row r="557" customFormat="false" ht="15" hidden="false" customHeight="false" outlineLevel="0" collapsed="false">
      <c r="A557" s="6" t="s">
        <v>556</v>
      </c>
      <c r="B557" s="7" t="n">
        <v>0.049037</v>
      </c>
      <c r="C557" s="7" t="n">
        <f aca="false">((1+B557/100)^21-1)*100</f>
        <v>1.03484243492922</v>
      </c>
    </row>
    <row r="558" customFormat="false" ht="15" hidden="false" customHeight="false" outlineLevel="0" collapsed="false">
      <c r="A558" s="6" t="s">
        <v>557</v>
      </c>
      <c r="B558" s="7" t="n">
        <v>0.049037</v>
      </c>
      <c r="C558" s="7" t="n">
        <f aca="false">((1+B558/100)^21-1)*100</f>
        <v>1.03484243492922</v>
      </c>
    </row>
    <row r="559" customFormat="false" ht="15" hidden="false" customHeight="false" outlineLevel="0" collapsed="false">
      <c r="A559" s="6" t="s">
        <v>558</v>
      </c>
      <c r="B559" s="7" t="n">
        <v>0.049037</v>
      </c>
      <c r="C559" s="7" t="n">
        <f aca="false">((1+B559/100)^21-1)*100</f>
        <v>1.03484243492922</v>
      </c>
    </row>
    <row r="560" customFormat="false" ht="15" hidden="false" customHeight="false" outlineLevel="0" collapsed="false">
      <c r="A560" s="6" t="s">
        <v>559</v>
      </c>
      <c r="B560" s="7" t="n">
        <v>0.049037</v>
      </c>
      <c r="C560" s="7" t="n">
        <f aca="false">((1+B560/100)^21-1)*100</f>
        <v>1.03484243492922</v>
      </c>
    </row>
    <row r="561" customFormat="false" ht="15" hidden="false" customHeight="false" outlineLevel="0" collapsed="false">
      <c r="A561" s="6" t="s">
        <v>560</v>
      </c>
      <c r="B561" s="7" t="n">
        <v>0.049037</v>
      </c>
      <c r="C561" s="7" t="n">
        <f aca="false">((1+B561/100)^21-1)*100</f>
        <v>1.03484243492922</v>
      </c>
    </row>
    <row r="562" customFormat="false" ht="15" hidden="false" customHeight="false" outlineLevel="0" collapsed="false">
      <c r="A562" s="6" t="s">
        <v>561</v>
      </c>
      <c r="B562" s="7" t="n">
        <v>0.049037</v>
      </c>
      <c r="C562" s="7" t="n">
        <f aca="false">((1+B562/100)^21-1)*100</f>
        <v>1.03484243492922</v>
      </c>
    </row>
    <row r="563" customFormat="false" ht="15" hidden="false" customHeight="false" outlineLevel="0" collapsed="false">
      <c r="A563" s="6" t="s">
        <v>562</v>
      </c>
      <c r="B563" s="7" t="n">
        <v>0.052531</v>
      </c>
      <c r="C563" s="7" t="n">
        <f aca="false">((1+B563/100)^21-1)*100</f>
        <v>1.10896528780244</v>
      </c>
    </row>
    <row r="564" customFormat="false" ht="15" hidden="false" customHeight="false" outlineLevel="0" collapsed="false">
      <c r="A564" s="6" t="s">
        <v>563</v>
      </c>
      <c r="B564" s="7" t="n">
        <v>0.052531</v>
      </c>
      <c r="C564" s="7" t="n">
        <f aca="false">((1+B564/100)^21-1)*100</f>
        <v>1.10896528780244</v>
      </c>
    </row>
    <row r="565" customFormat="false" ht="15" hidden="false" customHeight="false" outlineLevel="0" collapsed="false">
      <c r="A565" s="6" t="s">
        <v>564</v>
      </c>
      <c r="B565" s="7" t="n">
        <v>0.052531</v>
      </c>
      <c r="C565" s="7" t="n">
        <f aca="false">((1+B565/100)^21-1)*100</f>
        <v>1.10896528780244</v>
      </c>
    </row>
    <row r="566" customFormat="false" ht="15" hidden="false" customHeight="false" outlineLevel="0" collapsed="false">
      <c r="A566" s="6" t="s">
        <v>565</v>
      </c>
      <c r="B566" s="7" t="n">
        <v>0.052531</v>
      </c>
      <c r="C566" s="7" t="n">
        <f aca="false">((1+B566/100)^21-1)*100</f>
        <v>1.10896528780244</v>
      </c>
    </row>
    <row r="567" customFormat="false" ht="15" hidden="false" customHeight="false" outlineLevel="0" collapsed="false">
      <c r="A567" s="6" t="s">
        <v>566</v>
      </c>
      <c r="B567" s="7" t="n">
        <v>0.052531</v>
      </c>
      <c r="C567" s="7" t="n">
        <f aca="false">((1+B567/100)^21-1)*100</f>
        <v>1.10896528780244</v>
      </c>
    </row>
    <row r="568" customFormat="false" ht="15" hidden="false" customHeight="false" outlineLevel="0" collapsed="false">
      <c r="A568" s="6" t="s">
        <v>567</v>
      </c>
      <c r="B568" s="7" t="n">
        <v>0.052531</v>
      </c>
      <c r="C568" s="7" t="n">
        <f aca="false">((1+B568/100)^21-1)*100</f>
        <v>1.10896528780244</v>
      </c>
    </row>
    <row r="569" customFormat="false" ht="15" hidden="false" customHeight="false" outlineLevel="0" collapsed="false">
      <c r="A569" s="6" t="s">
        <v>568</v>
      </c>
      <c r="B569" s="7" t="n">
        <v>0.052531</v>
      </c>
      <c r="C569" s="7" t="n">
        <f aca="false">((1+B569/100)^21-1)*100</f>
        <v>1.10896528780244</v>
      </c>
    </row>
    <row r="570" customFormat="false" ht="15" hidden="false" customHeight="false" outlineLevel="0" collapsed="false">
      <c r="A570" s="6" t="s">
        <v>569</v>
      </c>
      <c r="B570" s="7" t="n">
        <v>0.052531</v>
      </c>
      <c r="C570" s="7" t="n">
        <f aca="false">((1+B570/100)^21-1)*100</f>
        <v>1.10896528780244</v>
      </c>
    </row>
    <row r="571" customFormat="false" ht="15" hidden="false" customHeight="false" outlineLevel="0" collapsed="false">
      <c r="A571" s="6" t="s">
        <v>570</v>
      </c>
      <c r="B571" s="7" t="n">
        <v>0.052531</v>
      </c>
      <c r="C571" s="7" t="n">
        <f aca="false">((1+B571/100)^21-1)*100</f>
        <v>1.10896528780244</v>
      </c>
    </row>
    <row r="572" customFormat="false" ht="15" hidden="false" customHeight="false" outlineLevel="0" collapsed="false">
      <c r="A572" s="6" t="s">
        <v>571</v>
      </c>
      <c r="B572" s="7" t="n">
        <v>0.052531</v>
      </c>
      <c r="C572" s="7" t="n">
        <f aca="false">((1+B572/100)^21-1)*100</f>
        <v>1.10896528780244</v>
      </c>
    </row>
    <row r="573" customFormat="false" ht="15" hidden="false" customHeight="false" outlineLevel="0" collapsed="false">
      <c r="A573" s="6" t="s">
        <v>572</v>
      </c>
      <c r="B573" s="7" t="n">
        <v>0.052531</v>
      </c>
      <c r="C573" s="7" t="n">
        <f aca="false">((1+B573/100)^21-1)*100</f>
        <v>1.10896528780244</v>
      </c>
    </row>
    <row r="574" customFormat="false" ht="15" hidden="false" customHeight="false" outlineLevel="0" collapsed="false">
      <c r="A574" s="6" t="s">
        <v>573</v>
      </c>
      <c r="B574" s="7" t="n">
        <v>0.052531</v>
      </c>
      <c r="C574" s="7" t="n">
        <f aca="false">((1+B574/100)^21-1)*100</f>
        <v>1.10896528780244</v>
      </c>
    </row>
    <row r="575" customFormat="false" ht="15" hidden="false" customHeight="false" outlineLevel="0" collapsed="false">
      <c r="A575" s="6" t="s">
        <v>574</v>
      </c>
      <c r="B575" s="7" t="n">
        <v>0.052531</v>
      </c>
      <c r="C575" s="7" t="n">
        <f aca="false">((1+B575/100)^21-1)*100</f>
        <v>1.10896528780244</v>
      </c>
    </row>
    <row r="576" customFormat="false" ht="15" hidden="false" customHeight="false" outlineLevel="0" collapsed="false">
      <c r="A576" s="6" t="s">
        <v>575</v>
      </c>
      <c r="B576" s="7" t="n">
        <v>0.052531</v>
      </c>
      <c r="C576" s="7" t="n">
        <f aca="false">((1+B576/100)^21-1)*100</f>
        <v>1.10896528780244</v>
      </c>
    </row>
    <row r="577" customFormat="false" ht="15" hidden="false" customHeight="false" outlineLevel="0" collapsed="false">
      <c r="A577" s="6" t="s">
        <v>576</v>
      </c>
      <c r="B577" s="7" t="n">
        <v>0.052531</v>
      </c>
      <c r="C577" s="7" t="n">
        <f aca="false">((1+B577/100)^21-1)*100</f>
        <v>1.10896528780244</v>
      </c>
    </row>
    <row r="578" customFormat="false" ht="15" hidden="false" customHeight="false" outlineLevel="0" collapsed="false">
      <c r="A578" s="6" t="s">
        <v>577</v>
      </c>
      <c r="B578" s="7" t="n">
        <v>0.052531</v>
      </c>
      <c r="C578" s="7" t="n">
        <f aca="false">((1+B578/100)^21-1)*100</f>
        <v>1.10896528780244</v>
      </c>
    </row>
    <row r="579" customFormat="false" ht="15" hidden="false" customHeight="false" outlineLevel="0" collapsed="false">
      <c r="A579" s="6" t="s">
        <v>578</v>
      </c>
      <c r="B579" s="7" t="n">
        <v>0.052531</v>
      </c>
      <c r="C579" s="7" t="n">
        <f aca="false">((1+B579/100)^21-1)*100</f>
        <v>1.10896528780244</v>
      </c>
    </row>
    <row r="580" customFormat="false" ht="15" hidden="false" customHeight="false" outlineLevel="0" collapsed="false">
      <c r="A580" s="6" t="s">
        <v>579</v>
      </c>
      <c r="B580" s="7" t="n">
        <v>0.052531</v>
      </c>
      <c r="C580" s="7" t="n">
        <f aca="false">((1+B580/100)^21-1)*100</f>
        <v>1.10896528780244</v>
      </c>
    </row>
    <row r="581" customFormat="false" ht="15" hidden="false" customHeight="false" outlineLevel="0" collapsed="false">
      <c r="A581" s="6" t="s">
        <v>580</v>
      </c>
      <c r="B581" s="7" t="n">
        <v>0.052531</v>
      </c>
      <c r="C581" s="7" t="n">
        <f aca="false">((1+B581/100)^21-1)*100</f>
        <v>1.10896528780244</v>
      </c>
    </row>
    <row r="582" customFormat="false" ht="15" hidden="false" customHeight="false" outlineLevel="0" collapsed="false">
      <c r="A582" s="6" t="s">
        <v>581</v>
      </c>
      <c r="B582" s="7" t="n">
        <v>0.052531</v>
      </c>
      <c r="C582" s="7" t="n">
        <f aca="false">((1+B582/100)^21-1)*100</f>
        <v>1.10896528780244</v>
      </c>
    </row>
    <row r="583" customFormat="false" ht="15" hidden="false" customHeight="false" outlineLevel="0" collapsed="false">
      <c r="A583" s="6" t="s">
        <v>582</v>
      </c>
      <c r="B583" s="7" t="n">
        <v>0.052531</v>
      </c>
      <c r="C583" s="7" t="n">
        <f aca="false">((1+B583/100)^21-1)*100</f>
        <v>1.10896528780244</v>
      </c>
    </row>
    <row r="584" customFormat="false" ht="15" hidden="false" customHeight="false" outlineLevel="0" collapsed="false">
      <c r="A584" s="6" t="s">
        <v>583</v>
      </c>
      <c r="B584" s="7" t="n">
        <v>0.052531</v>
      </c>
      <c r="C584" s="7" t="n">
        <f aca="false">((1+B584/100)^21-1)*100</f>
        <v>1.10896528780244</v>
      </c>
    </row>
    <row r="585" customFormat="false" ht="15" hidden="false" customHeight="false" outlineLevel="0" collapsed="false">
      <c r="A585" s="6" t="s">
        <v>584</v>
      </c>
      <c r="B585" s="7" t="n">
        <v>0.052531</v>
      </c>
      <c r="C585" s="7" t="n">
        <f aca="false">((1+B585/100)^21-1)*100</f>
        <v>1.10896528780244</v>
      </c>
    </row>
    <row r="586" customFormat="false" ht="15" hidden="false" customHeight="false" outlineLevel="0" collapsed="false">
      <c r="A586" s="6" t="s">
        <v>585</v>
      </c>
      <c r="B586" s="7" t="n">
        <v>0.052531</v>
      </c>
      <c r="C586" s="7" t="n">
        <f aca="false">((1+B586/100)^21-1)*100</f>
        <v>1.10896528780244</v>
      </c>
    </row>
    <row r="587" customFormat="false" ht="15" hidden="false" customHeight="false" outlineLevel="0" collapsed="false">
      <c r="A587" s="6" t="s">
        <v>586</v>
      </c>
      <c r="B587" s="7" t="n">
        <v>0.052531</v>
      </c>
      <c r="C587" s="7" t="n">
        <f aca="false">((1+B587/100)^21-1)*100</f>
        <v>1.10896528780244</v>
      </c>
    </row>
    <row r="588" customFormat="false" ht="15" hidden="false" customHeight="false" outlineLevel="0" collapsed="false">
      <c r="A588" s="6" t="s">
        <v>587</v>
      </c>
      <c r="B588" s="7" t="n">
        <v>0.052531</v>
      </c>
      <c r="C588" s="7" t="n">
        <f aca="false">((1+B588/100)^21-1)*100</f>
        <v>1.10896528780244</v>
      </c>
    </row>
    <row r="589" customFormat="false" ht="15" hidden="false" customHeight="false" outlineLevel="0" collapsed="false">
      <c r="A589" s="6" t="s">
        <v>588</v>
      </c>
      <c r="B589" s="7" t="n">
        <v>0.052531</v>
      </c>
      <c r="C589" s="7" t="n">
        <f aca="false">((1+B589/100)^21-1)*100</f>
        <v>1.10896528780244</v>
      </c>
    </row>
    <row r="590" customFormat="false" ht="15" hidden="false" customHeight="false" outlineLevel="0" collapsed="false">
      <c r="A590" s="6" t="s">
        <v>589</v>
      </c>
      <c r="B590" s="7" t="n">
        <v>0.052531</v>
      </c>
      <c r="C590" s="7" t="n">
        <f aca="false">((1+B590/100)^21-1)*100</f>
        <v>1.10896528780244</v>
      </c>
    </row>
    <row r="591" customFormat="false" ht="15" hidden="false" customHeight="false" outlineLevel="0" collapsed="false">
      <c r="A591" s="6" t="s">
        <v>590</v>
      </c>
      <c r="B591" s="7" t="n">
        <v>0.052531</v>
      </c>
      <c r="C591" s="7" t="n">
        <f aca="false">((1+B591/100)^21-1)*100</f>
        <v>1.10896528780244</v>
      </c>
    </row>
    <row r="592" customFormat="false" ht="15" hidden="false" customHeight="false" outlineLevel="0" collapsed="false">
      <c r="A592" s="6" t="s">
        <v>591</v>
      </c>
      <c r="B592" s="7" t="n">
        <v>0.052531</v>
      </c>
      <c r="C592" s="7" t="n">
        <f aca="false">((1+B592/100)^21-1)*100</f>
        <v>1.10896528780244</v>
      </c>
    </row>
    <row r="593" customFormat="false" ht="15" hidden="false" customHeight="false" outlineLevel="0" collapsed="false">
      <c r="A593" s="6" t="s">
        <v>592</v>
      </c>
      <c r="B593" s="7" t="n">
        <v>0.052531</v>
      </c>
      <c r="C593" s="7" t="n">
        <f aca="false">((1+B593/100)^21-1)*100</f>
        <v>1.10896528780244</v>
      </c>
    </row>
    <row r="594" customFormat="false" ht="15" hidden="false" customHeight="false" outlineLevel="0" collapsed="false">
      <c r="A594" s="6" t="s">
        <v>593</v>
      </c>
      <c r="B594" s="7" t="n">
        <v>0.052531</v>
      </c>
      <c r="C594" s="7" t="n">
        <f aca="false">((1+B594/100)^21-1)*100</f>
        <v>1.10896528780244</v>
      </c>
    </row>
    <row r="595" customFormat="false" ht="15" hidden="false" customHeight="false" outlineLevel="0" collapsed="false">
      <c r="A595" s="6" t="s">
        <v>594</v>
      </c>
      <c r="B595" s="7" t="n">
        <v>0.054266</v>
      </c>
      <c r="C595" s="7" t="n">
        <f aca="false">((1+B595/100)^21-1)*100</f>
        <v>1.14579138311028</v>
      </c>
    </row>
    <row r="596" customFormat="false" ht="15" hidden="false" customHeight="false" outlineLevel="0" collapsed="false">
      <c r="A596" s="6" t="s">
        <v>595</v>
      </c>
      <c r="B596" s="7" t="n">
        <v>0.054266</v>
      </c>
      <c r="C596" s="7" t="n">
        <f aca="false">((1+B596/100)^21-1)*100</f>
        <v>1.14579138311028</v>
      </c>
    </row>
    <row r="597" customFormat="false" ht="15" hidden="false" customHeight="false" outlineLevel="0" collapsed="false">
      <c r="A597" s="6" t="s">
        <v>596</v>
      </c>
      <c r="B597" s="7" t="n">
        <v>0.054266</v>
      </c>
      <c r="C597" s="7" t="n">
        <f aca="false">((1+B597/100)^21-1)*100</f>
        <v>1.14579138311028</v>
      </c>
    </row>
    <row r="598" customFormat="false" ht="15" hidden="false" customHeight="false" outlineLevel="0" collapsed="false">
      <c r="A598" s="6" t="s">
        <v>597</v>
      </c>
      <c r="B598" s="7" t="n">
        <v>0.054266</v>
      </c>
      <c r="C598" s="7" t="n">
        <f aca="false">((1+B598/100)^21-1)*100</f>
        <v>1.14579138311028</v>
      </c>
    </row>
    <row r="599" customFormat="false" ht="15" hidden="false" customHeight="false" outlineLevel="0" collapsed="false">
      <c r="A599" s="6" t="s">
        <v>598</v>
      </c>
      <c r="B599" s="7" t="n">
        <v>0.054266</v>
      </c>
      <c r="C599" s="7" t="n">
        <f aca="false">((1+B599/100)^21-1)*100</f>
        <v>1.14579138311028</v>
      </c>
    </row>
    <row r="600" customFormat="false" ht="15" hidden="false" customHeight="false" outlineLevel="0" collapsed="false">
      <c r="A600" s="6" t="s">
        <v>599</v>
      </c>
      <c r="B600" s="7" t="n">
        <v>0.054266</v>
      </c>
      <c r="C600" s="7" t="n">
        <f aca="false">((1+B600/100)^21-1)*100</f>
        <v>1.14579138311028</v>
      </c>
    </row>
    <row r="601" customFormat="false" ht="15" hidden="false" customHeight="false" outlineLevel="0" collapsed="false">
      <c r="A601" s="6" t="s">
        <v>600</v>
      </c>
      <c r="B601" s="7" t="n">
        <v>0.054266</v>
      </c>
      <c r="C601" s="7" t="n">
        <f aca="false">((1+B601/100)^21-1)*100</f>
        <v>1.14579138311028</v>
      </c>
    </row>
    <row r="602" customFormat="false" ht="15" hidden="false" customHeight="false" outlineLevel="0" collapsed="false">
      <c r="A602" s="6" t="s">
        <v>601</v>
      </c>
      <c r="B602" s="7" t="n">
        <v>0.054266</v>
      </c>
      <c r="C602" s="7" t="n">
        <f aca="false">((1+B602/100)^21-1)*100</f>
        <v>1.14579138311028</v>
      </c>
    </row>
    <row r="603" customFormat="false" ht="15" hidden="false" customHeight="false" outlineLevel="0" collapsed="false">
      <c r="A603" s="6" t="s">
        <v>602</v>
      </c>
      <c r="B603" s="7" t="n">
        <v>0.054266</v>
      </c>
      <c r="C603" s="7" t="n">
        <f aca="false">((1+B603/100)^21-1)*100</f>
        <v>1.14579138311028</v>
      </c>
    </row>
    <row r="604" customFormat="false" ht="15" hidden="false" customHeight="false" outlineLevel="0" collapsed="false">
      <c r="A604" s="6" t="s">
        <v>603</v>
      </c>
      <c r="B604" s="7" t="n">
        <v>0.054266</v>
      </c>
      <c r="C604" s="7" t="n">
        <f aca="false">((1+B604/100)^21-1)*100</f>
        <v>1.14579138311028</v>
      </c>
    </row>
    <row r="605" customFormat="false" ht="15" hidden="false" customHeight="false" outlineLevel="0" collapsed="false">
      <c r="A605" s="6" t="s">
        <v>604</v>
      </c>
      <c r="B605" s="7" t="n">
        <v>0.054266</v>
      </c>
      <c r="C605" s="7" t="n">
        <f aca="false">((1+B605/100)^21-1)*100</f>
        <v>1.14579138311028</v>
      </c>
    </row>
    <row r="606" customFormat="false" ht="15" hidden="false" customHeight="false" outlineLevel="0" collapsed="false">
      <c r="A606" s="6" t="s">
        <v>605</v>
      </c>
      <c r="B606" s="7" t="n">
        <v>0.054266</v>
      </c>
      <c r="C606" s="7" t="n">
        <f aca="false">((1+B606/100)^21-1)*100</f>
        <v>1.14579138311028</v>
      </c>
    </row>
    <row r="607" customFormat="false" ht="15" hidden="false" customHeight="false" outlineLevel="0" collapsed="false">
      <c r="A607" s="6" t="s">
        <v>606</v>
      </c>
      <c r="B607" s="7" t="n">
        <v>0.054266</v>
      </c>
      <c r="C607" s="7" t="n">
        <f aca="false">((1+B607/100)^21-1)*100</f>
        <v>1.14579138311028</v>
      </c>
    </row>
    <row r="608" customFormat="false" ht="15" hidden="false" customHeight="false" outlineLevel="0" collapsed="false">
      <c r="A608" s="6" t="s">
        <v>607</v>
      </c>
      <c r="B608" s="7" t="n">
        <v>0.054266</v>
      </c>
      <c r="C608" s="7" t="n">
        <f aca="false">((1+B608/100)^21-1)*100</f>
        <v>1.14579138311028</v>
      </c>
    </row>
    <row r="609" customFormat="false" ht="15" hidden="false" customHeight="false" outlineLevel="0" collapsed="false">
      <c r="A609" s="6" t="s">
        <v>608</v>
      </c>
      <c r="B609" s="7" t="n">
        <v>0.054266</v>
      </c>
      <c r="C609" s="7" t="n">
        <f aca="false">((1+B609/100)^21-1)*100</f>
        <v>1.14579138311028</v>
      </c>
    </row>
    <row r="610" customFormat="false" ht="15" hidden="false" customHeight="false" outlineLevel="0" collapsed="false">
      <c r="A610" s="6" t="s">
        <v>609</v>
      </c>
      <c r="B610" s="7" t="n">
        <v>0.054266</v>
      </c>
      <c r="C610" s="7" t="n">
        <f aca="false">((1+B610/100)^21-1)*100</f>
        <v>1.14579138311028</v>
      </c>
    </row>
    <row r="611" customFormat="false" ht="15" hidden="false" customHeight="false" outlineLevel="0" collapsed="false">
      <c r="A611" s="6" t="s">
        <v>610</v>
      </c>
      <c r="B611" s="7" t="n">
        <v>0.054266</v>
      </c>
      <c r="C611" s="7" t="n">
        <f aca="false">((1+B611/100)^21-1)*100</f>
        <v>1.14579138311028</v>
      </c>
    </row>
    <row r="612" customFormat="false" ht="15" hidden="false" customHeight="false" outlineLevel="0" collapsed="false">
      <c r="A612" s="6" t="s">
        <v>611</v>
      </c>
      <c r="B612" s="7" t="n">
        <v>0.054266</v>
      </c>
      <c r="C612" s="7" t="n">
        <f aca="false">((1+B612/100)^21-1)*100</f>
        <v>1.14579138311028</v>
      </c>
    </row>
    <row r="613" customFormat="false" ht="15" hidden="false" customHeight="false" outlineLevel="0" collapsed="false">
      <c r="A613" s="6" t="s">
        <v>612</v>
      </c>
      <c r="B613" s="7" t="n">
        <v>0.054266</v>
      </c>
      <c r="C613" s="7" t="n">
        <f aca="false">((1+B613/100)^21-1)*100</f>
        <v>1.14579138311028</v>
      </c>
    </row>
    <row r="614" customFormat="false" ht="15" hidden="false" customHeight="false" outlineLevel="0" collapsed="false">
      <c r="A614" s="6" t="s">
        <v>613</v>
      </c>
      <c r="B614" s="7" t="n">
        <v>0.054266</v>
      </c>
      <c r="C614" s="7" t="n">
        <f aca="false">((1+B614/100)^21-1)*100</f>
        <v>1.14579138311028</v>
      </c>
    </row>
    <row r="615" customFormat="false" ht="15" hidden="false" customHeight="false" outlineLevel="0" collapsed="false">
      <c r="A615" s="6" t="s">
        <v>614</v>
      </c>
      <c r="B615" s="7" t="n">
        <v>0.054266</v>
      </c>
      <c r="C615" s="7" t="n">
        <f aca="false">((1+B615/100)^21-1)*100</f>
        <v>1.14579138311028</v>
      </c>
    </row>
    <row r="616" customFormat="false" ht="15" hidden="false" customHeight="false" outlineLevel="0" collapsed="false">
      <c r="A616" s="6" t="s">
        <v>615</v>
      </c>
      <c r="B616" s="7" t="n">
        <v>0.054266</v>
      </c>
      <c r="C616" s="7" t="n">
        <f aca="false">((1+B616/100)^21-1)*100</f>
        <v>1.14579138311028</v>
      </c>
    </row>
    <row r="617" customFormat="false" ht="15" hidden="false" customHeight="false" outlineLevel="0" collapsed="false">
      <c r="A617" s="6" t="s">
        <v>616</v>
      </c>
      <c r="B617" s="7" t="n">
        <v>0.054266</v>
      </c>
      <c r="C617" s="7" t="n">
        <f aca="false">((1+B617/100)^21-1)*100</f>
        <v>1.14579138311028</v>
      </c>
    </row>
    <row r="618" customFormat="false" ht="15" hidden="false" customHeight="false" outlineLevel="0" collapsed="false">
      <c r="A618" s="6" t="s">
        <v>617</v>
      </c>
      <c r="B618" s="7" t="n">
        <v>0.054266</v>
      </c>
      <c r="C618" s="7" t="n">
        <f aca="false">((1+B618/100)^21-1)*100</f>
        <v>1.14579138311028</v>
      </c>
    </row>
    <row r="619" customFormat="false" ht="15" hidden="false" customHeight="false" outlineLevel="0" collapsed="false">
      <c r="A619" s="6" t="s">
        <v>618</v>
      </c>
      <c r="B619" s="7" t="n">
        <v>0.054266</v>
      </c>
      <c r="C619" s="7" t="n">
        <f aca="false">((1+B619/100)^21-1)*100</f>
        <v>1.14579138311028</v>
      </c>
    </row>
    <row r="620" customFormat="false" ht="15" hidden="false" customHeight="false" outlineLevel="0" collapsed="false">
      <c r="A620" s="6" t="s">
        <v>619</v>
      </c>
      <c r="B620" s="7" t="n">
        <v>0.054266</v>
      </c>
      <c r="C620" s="7" t="n">
        <f aca="false">((1+B620/100)^21-1)*100</f>
        <v>1.14579138311028</v>
      </c>
    </row>
    <row r="621" customFormat="false" ht="15" hidden="false" customHeight="false" outlineLevel="0" collapsed="false">
      <c r="A621" s="6" t="s">
        <v>620</v>
      </c>
      <c r="B621" s="7" t="n">
        <v>0.054266</v>
      </c>
      <c r="C621" s="7" t="n">
        <f aca="false">((1+B621/100)^21-1)*100</f>
        <v>1.14579138311028</v>
      </c>
    </row>
    <row r="622" customFormat="false" ht="15" hidden="false" customHeight="false" outlineLevel="0" collapsed="false">
      <c r="A622" s="6" t="s">
        <v>621</v>
      </c>
      <c r="B622" s="7" t="n">
        <v>0.054266</v>
      </c>
      <c r="C622" s="7" t="n">
        <f aca="false">((1+B622/100)^21-1)*100</f>
        <v>1.14579138311028</v>
      </c>
    </row>
    <row r="623" customFormat="false" ht="15" hidden="false" customHeight="false" outlineLevel="0" collapsed="false">
      <c r="A623" s="6" t="s">
        <v>622</v>
      </c>
      <c r="B623" s="7" t="n">
        <v>0.054266</v>
      </c>
      <c r="C623" s="7" t="n">
        <f aca="false">((1+B623/100)^21-1)*100</f>
        <v>1.14579138311028</v>
      </c>
    </row>
    <row r="624" customFormat="false" ht="15" hidden="false" customHeight="false" outlineLevel="0" collapsed="false">
      <c r="A624" s="6" t="s">
        <v>623</v>
      </c>
      <c r="B624" s="7" t="n">
        <v>0.054266</v>
      </c>
      <c r="C624" s="7" t="n">
        <f aca="false">((1+B624/100)^21-1)*100</f>
        <v>1.14579138311028</v>
      </c>
    </row>
    <row r="625" customFormat="false" ht="15" hidden="false" customHeight="false" outlineLevel="0" collapsed="false">
      <c r="A625" s="6" t="s">
        <v>624</v>
      </c>
      <c r="B625" s="7" t="n">
        <v>0.055131</v>
      </c>
      <c r="C625" s="7" t="n">
        <f aca="false">((1+B625/100)^21-1)*100</f>
        <v>1.16415613879781</v>
      </c>
    </row>
    <row r="626" customFormat="false" ht="15" hidden="false" customHeight="false" outlineLevel="0" collapsed="false">
      <c r="A626" s="6" t="s">
        <v>625</v>
      </c>
      <c r="B626" s="7" t="n">
        <v>0.055131</v>
      </c>
      <c r="C626" s="7" t="n">
        <f aca="false">((1+B626/100)^21-1)*100</f>
        <v>1.16415613879781</v>
      </c>
    </row>
    <row r="627" customFormat="false" ht="15" hidden="false" customHeight="false" outlineLevel="0" collapsed="false">
      <c r="A627" s="6" t="s">
        <v>626</v>
      </c>
      <c r="B627" s="7" t="n">
        <v>0.055131</v>
      </c>
      <c r="C627" s="7" t="n">
        <f aca="false">((1+B627/100)^21-1)*100</f>
        <v>1.16415613879781</v>
      </c>
    </row>
    <row r="628" customFormat="false" ht="15" hidden="false" customHeight="false" outlineLevel="0" collapsed="false">
      <c r="A628" s="6" t="s">
        <v>627</v>
      </c>
      <c r="B628" s="7" t="n">
        <v>0.055131</v>
      </c>
      <c r="C628" s="7" t="n">
        <f aca="false">((1+B628/100)^21-1)*100</f>
        <v>1.16415613879781</v>
      </c>
    </row>
    <row r="629" customFormat="false" ht="15" hidden="false" customHeight="false" outlineLevel="0" collapsed="false">
      <c r="A629" s="6" t="s">
        <v>628</v>
      </c>
      <c r="B629" s="7" t="n">
        <v>0.055131</v>
      </c>
      <c r="C629" s="7" t="n">
        <f aca="false">((1+B629/100)^21-1)*100</f>
        <v>1.16415613879781</v>
      </c>
    </row>
    <row r="630" customFormat="false" ht="15" hidden="false" customHeight="false" outlineLevel="0" collapsed="false">
      <c r="A630" s="6" t="s">
        <v>629</v>
      </c>
      <c r="B630" s="7" t="n">
        <v>0.055131</v>
      </c>
      <c r="C630" s="7" t="n">
        <f aca="false">((1+B630/100)^21-1)*100</f>
        <v>1.16415613879781</v>
      </c>
    </row>
    <row r="631" customFormat="false" ht="15" hidden="false" customHeight="false" outlineLevel="0" collapsed="false">
      <c r="A631" s="6" t="s">
        <v>630</v>
      </c>
      <c r="B631" s="7" t="n">
        <v>0.055131</v>
      </c>
      <c r="C631" s="7" t="n">
        <f aca="false">((1+B631/100)^21-1)*100</f>
        <v>1.16415613879781</v>
      </c>
    </row>
    <row r="632" customFormat="false" ht="15" hidden="false" customHeight="false" outlineLevel="0" collapsed="false">
      <c r="A632" s="6" t="s">
        <v>631</v>
      </c>
      <c r="B632" s="7" t="n">
        <v>0.055131</v>
      </c>
      <c r="C632" s="7" t="n">
        <f aca="false">((1+B632/100)^21-1)*100</f>
        <v>1.16415613879781</v>
      </c>
    </row>
    <row r="633" customFormat="false" ht="15" hidden="false" customHeight="false" outlineLevel="0" collapsed="false">
      <c r="A633" s="6" t="s">
        <v>632</v>
      </c>
      <c r="B633" s="7" t="n">
        <v>0.055131</v>
      </c>
      <c r="C633" s="7" t="n">
        <f aca="false">((1+B633/100)^21-1)*100</f>
        <v>1.16415613879781</v>
      </c>
    </row>
    <row r="634" customFormat="false" ht="15" hidden="false" customHeight="false" outlineLevel="0" collapsed="false">
      <c r="A634" s="6" t="s">
        <v>633</v>
      </c>
      <c r="B634" s="7" t="n">
        <v>0.055131</v>
      </c>
      <c r="C634" s="7" t="n">
        <f aca="false">((1+B634/100)^21-1)*100</f>
        <v>1.16415613879781</v>
      </c>
    </row>
    <row r="635" customFormat="false" ht="15" hidden="false" customHeight="false" outlineLevel="0" collapsed="false">
      <c r="A635" s="6" t="s">
        <v>634</v>
      </c>
      <c r="B635" s="7" t="n">
        <v>0.055131</v>
      </c>
      <c r="C635" s="7" t="n">
        <f aca="false">((1+B635/100)^21-1)*100</f>
        <v>1.16415613879781</v>
      </c>
    </row>
    <row r="636" customFormat="false" ht="15" hidden="false" customHeight="false" outlineLevel="0" collapsed="false">
      <c r="A636" s="6" t="s">
        <v>635</v>
      </c>
      <c r="B636" s="7" t="n">
        <v>0.055131</v>
      </c>
      <c r="C636" s="7" t="n">
        <f aca="false">((1+B636/100)^21-1)*100</f>
        <v>1.16415613879781</v>
      </c>
    </row>
    <row r="637" customFormat="false" ht="15" hidden="false" customHeight="false" outlineLevel="0" collapsed="false">
      <c r="A637" s="6" t="s">
        <v>636</v>
      </c>
      <c r="B637" s="7" t="n">
        <v>0.055131</v>
      </c>
      <c r="C637" s="7" t="n">
        <f aca="false">((1+B637/100)^21-1)*100</f>
        <v>1.16415613879781</v>
      </c>
    </row>
    <row r="638" customFormat="false" ht="15" hidden="false" customHeight="false" outlineLevel="0" collapsed="false">
      <c r="A638" s="6" t="s">
        <v>637</v>
      </c>
      <c r="B638" s="7" t="n">
        <v>0.055131</v>
      </c>
      <c r="C638" s="7" t="n">
        <f aca="false">((1+B638/100)^21-1)*100</f>
        <v>1.16415613879781</v>
      </c>
    </row>
    <row r="639" customFormat="false" ht="15" hidden="false" customHeight="false" outlineLevel="0" collapsed="false">
      <c r="A639" s="6" t="s">
        <v>638</v>
      </c>
      <c r="B639" s="7" t="n">
        <v>0.055131</v>
      </c>
      <c r="C639" s="7" t="n">
        <f aca="false">((1+B639/100)^21-1)*100</f>
        <v>1.16415613879781</v>
      </c>
    </row>
    <row r="640" customFormat="false" ht="15" hidden="false" customHeight="false" outlineLevel="0" collapsed="false">
      <c r="A640" s="6" t="s">
        <v>639</v>
      </c>
      <c r="B640" s="7" t="n">
        <v>0.055131</v>
      </c>
      <c r="C640" s="7" t="n">
        <f aca="false">((1+B640/100)^21-1)*100</f>
        <v>1.16415613879781</v>
      </c>
    </row>
    <row r="641" customFormat="false" ht="15" hidden="false" customHeight="false" outlineLevel="0" collapsed="false">
      <c r="A641" s="6" t="s">
        <v>640</v>
      </c>
      <c r="B641" s="7" t="n">
        <v>0.055131</v>
      </c>
      <c r="C641" s="7" t="n">
        <f aca="false">((1+B641/100)^21-1)*100</f>
        <v>1.16415613879781</v>
      </c>
    </row>
    <row r="642" customFormat="false" ht="15" hidden="false" customHeight="false" outlineLevel="0" collapsed="false">
      <c r="A642" s="6" t="s">
        <v>641</v>
      </c>
      <c r="B642" s="7" t="n">
        <v>0.055131</v>
      </c>
      <c r="C642" s="7" t="n">
        <f aca="false">((1+B642/100)^21-1)*100</f>
        <v>1.16415613879781</v>
      </c>
    </row>
    <row r="643" customFormat="false" ht="15" hidden="false" customHeight="false" outlineLevel="0" collapsed="false">
      <c r="A643" s="6" t="s">
        <v>642</v>
      </c>
      <c r="B643" s="7" t="n">
        <v>0.055131</v>
      </c>
      <c r="C643" s="7" t="n">
        <f aca="false">((1+B643/100)^21-1)*100</f>
        <v>1.16415613879781</v>
      </c>
    </row>
    <row r="644" customFormat="false" ht="15" hidden="false" customHeight="false" outlineLevel="0" collapsed="false">
      <c r="A644" s="6" t="s">
        <v>643</v>
      </c>
      <c r="B644" s="7" t="n">
        <v>0.055131</v>
      </c>
      <c r="C644" s="7" t="n">
        <f aca="false">((1+B644/100)^21-1)*100</f>
        <v>1.16415613879781</v>
      </c>
    </row>
    <row r="645" customFormat="false" ht="15" hidden="false" customHeight="false" outlineLevel="0" collapsed="false">
      <c r="A645" s="6" t="s">
        <v>644</v>
      </c>
      <c r="B645" s="7" t="n">
        <v>0.055131</v>
      </c>
      <c r="C645" s="7" t="n">
        <f aca="false">((1+B645/100)^21-1)*100</f>
        <v>1.16415613879781</v>
      </c>
    </row>
    <row r="646" customFormat="false" ht="15" hidden="false" customHeight="false" outlineLevel="0" collapsed="false">
      <c r="A646" s="6" t="s">
        <v>645</v>
      </c>
      <c r="B646" s="7" t="n">
        <v>0.055131</v>
      </c>
      <c r="C646" s="7" t="n">
        <f aca="false">((1+B646/100)^21-1)*100</f>
        <v>1.16415613879781</v>
      </c>
    </row>
    <row r="647" customFormat="false" ht="15" hidden="false" customHeight="false" outlineLevel="0" collapsed="false">
      <c r="A647" s="6" t="s">
        <v>646</v>
      </c>
      <c r="B647" s="7" t="n">
        <v>0.055131</v>
      </c>
      <c r="C647" s="7" t="n">
        <f aca="false">((1+B647/100)^21-1)*100</f>
        <v>1.16415613879781</v>
      </c>
    </row>
    <row r="648" customFormat="false" ht="15" hidden="false" customHeight="false" outlineLevel="0" collapsed="false">
      <c r="A648" s="6" t="s">
        <v>647</v>
      </c>
      <c r="B648" s="7" t="n">
        <v>0.055131</v>
      </c>
      <c r="C648" s="7" t="n">
        <f aca="false">((1+B648/100)^21-1)*100</f>
        <v>1.16415613879781</v>
      </c>
    </row>
    <row r="649" customFormat="false" ht="15" hidden="false" customHeight="false" outlineLevel="0" collapsed="false">
      <c r="A649" s="6" t="s">
        <v>648</v>
      </c>
      <c r="B649" s="7" t="n">
        <v>0.055131</v>
      </c>
      <c r="C649" s="7" t="n">
        <f aca="false">((1+B649/100)^21-1)*100</f>
        <v>1.16415613879781</v>
      </c>
    </row>
    <row r="650" customFormat="false" ht="15" hidden="false" customHeight="false" outlineLevel="0" collapsed="false">
      <c r="A650" s="6" t="s">
        <v>649</v>
      </c>
      <c r="B650" s="7" t="n">
        <v>0.055131</v>
      </c>
      <c r="C650" s="7" t="n">
        <f aca="false">((1+B650/100)^21-1)*100</f>
        <v>1.16415613879781</v>
      </c>
    </row>
    <row r="651" customFormat="false" ht="15" hidden="false" customHeight="false" outlineLevel="0" collapsed="false">
      <c r="A651" s="6" t="s">
        <v>650</v>
      </c>
      <c r="B651" s="7" t="n">
        <v>0.055131</v>
      </c>
      <c r="C651" s="7" t="n">
        <f aca="false">((1+B651/100)^21-1)*100</f>
        <v>1.16415613879781</v>
      </c>
    </row>
    <row r="652" customFormat="false" ht="15" hidden="false" customHeight="false" outlineLevel="0" collapsed="false">
      <c r="A652" s="6" t="s">
        <v>651</v>
      </c>
      <c r="B652" s="7" t="n">
        <v>0.055131</v>
      </c>
      <c r="C652" s="7" t="n">
        <f aca="false">((1+B652/100)^21-1)*100</f>
        <v>1.16415613879781</v>
      </c>
    </row>
    <row r="653" customFormat="false" ht="15" hidden="false" customHeight="false" outlineLevel="0" collapsed="false">
      <c r="A653" s="6" t="s">
        <v>652</v>
      </c>
      <c r="B653" s="7" t="n">
        <v>0.055131</v>
      </c>
      <c r="C653" s="7" t="n">
        <f aca="false">((1+B653/100)^21-1)*100</f>
        <v>1.16415613879781</v>
      </c>
    </row>
    <row r="654" customFormat="false" ht="15" hidden="false" customHeight="false" outlineLevel="0" collapsed="false">
      <c r="A654" s="6" t="s">
        <v>653</v>
      </c>
      <c r="B654" s="7" t="n">
        <v>0.055131</v>
      </c>
      <c r="C654" s="7" t="n">
        <f aca="false">((1+B654/100)^21-1)*100</f>
        <v>1.16415613879781</v>
      </c>
    </row>
    <row r="655" customFormat="false" ht="15" hidden="false" customHeight="false" outlineLevel="0" collapsed="false">
      <c r="A655" s="6" t="s">
        <v>654</v>
      </c>
      <c r="B655" s="7" t="n">
        <v>0.055131</v>
      </c>
      <c r="C655" s="7" t="n">
        <f aca="false">((1+B655/100)^21-1)*100</f>
        <v>1.16415613879781</v>
      </c>
    </row>
    <row r="656" customFormat="false" ht="15" hidden="false" customHeight="false" outlineLevel="0" collapsed="false">
      <c r="A656" s="6" t="s">
        <v>655</v>
      </c>
      <c r="B656" s="7" t="n">
        <v>0.055131</v>
      </c>
      <c r="C656" s="7" t="n">
        <f aca="false">((1+B656/100)^21-1)*100</f>
        <v>1.16415613879781</v>
      </c>
    </row>
    <row r="657" customFormat="false" ht="15" hidden="false" customHeight="false" outlineLevel="0" collapsed="false">
      <c r="A657" s="6" t="s">
        <v>656</v>
      </c>
      <c r="B657" s="7" t="n">
        <v>0.055131</v>
      </c>
      <c r="C657" s="7" t="n">
        <f aca="false">((1+B657/100)^21-1)*100</f>
        <v>1.16415613879781</v>
      </c>
    </row>
    <row r="658" customFormat="false" ht="15" hidden="false" customHeight="false" outlineLevel="0" collapsed="false">
      <c r="A658" s="6" t="s">
        <v>657</v>
      </c>
      <c r="B658" s="7" t="n">
        <v>0.055131</v>
      </c>
      <c r="C658" s="7" t="n">
        <f aca="false">((1+B658/100)^21-1)*100</f>
        <v>1.16415613879781</v>
      </c>
    </row>
    <row r="659" customFormat="false" ht="15" hidden="false" customHeight="false" outlineLevel="0" collapsed="false">
      <c r="A659" s="6" t="s">
        <v>658</v>
      </c>
      <c r="B659" s="7" t="n">
        <v>0.055131</v>
      </c>
      <c r="C659" s="7" t="n">
        <f aca="false">((1+B659/100)^21-1)*100</f>
        <v>1.16415613879781</v>
      </c>
    </row>
    <row r="660" customFormat="false" ht="15" hidden="false" customHeight="false" outlineLevel="0" collapsed="false">
      <c r="A660" s="6" t="s">
        <v>659</v>
      </c>
      <c r="B660" s="7" t="n">
        <v>0.055131</v>
      </c>
      <c r="C660" s="7" t="n">
        <f aca="false">((1+B660/100)^21-1)*100</f>
        <v>1.16415613879781</v>
      </c>
    </row>
    <row r="661" customFormat="false" ht="15" hidden="false" customHeight="false" outlineLevel="0" collapsed="false">
      <c r="A661" s="6" t="s">
        <v>660</v>
      </c>
      <c r="B661" s="7" t="n">
        <v>0.055131</v>
      </c>
      <c r="C661" s="7" t="n">
        <f aca="false">((1+B661/100)^21-1)*100</f>
        <v>1.16415613879781</v>
      </c>
    </row>
    <row r="662" customFormat="false" ht="15" hidden="false" customHeight="false" outlineLevel="0" collapsed="false">
      <c r="A662" s="6" t="s">
        <v>661</v>
      </c>
      <c r="B662" s="7" t="n">
        <v>0.055131</v>
      </c>
      <c r="C662" s="7" t="n">
        <f aca="false">((1+B662/100)^21-1)*100</f>
        <v>1.16415613879781</v>
      </c>
    </row>
    <row r="663" customFormat="false" ht="15" hidden="false" customHeight="false" outlineLevel="0" collapsed="false">
      <c r="A663" s="6" t="s">
        <v>662</v>
      </c>
      <c r="B663" s="7" t="n">
        <v>0.055131</v>
      </c>
      <c r="C663" s="7" t="n">
        <f aca="false">((1+B663/100)^21-1)*100</f>
        <v>1.16415613879781</v>
      </c>
    </row>
    <row r="664" customFormat="false" ht="15" hidden="false" customHeight="false" outlineLevel="0" collapsed="false">
      <c r="A664" s="6" t="s">
        <v>663</v>
      </c>
      <c r="B664" s="7" t="n">
        <v>0.055131</v>
      </c>
      <c r="C664" s="7" t="n">
        <f aca="false">((1+B664/100)^21-1)*100</f>
        <v>1.16415613879781</v>
      </c>
    </row>
    <row r="665" customFormat="false" ht="15" hidden="false" customHeight="false" outlineLevel="0" collapsed="false">
      <c r="A665" s="6" t="s">
        <v>664</v>
      </c>
      <c r="B665" s="7" t="n">
        <v>0.055131</v>
      </c>
      <c r="C665" s="7" t="n">
        <f aca="false">((1+B665/100)^21-1)*100</f>
        <v>1.16415613879781</v>
      </c>
    </row>
    <row r="666" customFormat="false" ht="15" hidden="false" customHeight="false" outlineLevel="0" collapsed="false">
      <c r="A666" s="6" t="s">
        <v>665</v>
      </c>
      <c r="B666" s="7" t="n">
        <v>0.055131</v>
      </c>
      <c r="C666" s="7" t="n">
        <f aca="false">((1+B666/100)^21-1)*100</f>
        <v>1.16415613879781</v>
      </c>
    </row>
    <row r="667" customFormat="false" ht="15" hidden="false" customHeight="false" outlineLevel="0" collapsed="false">
      <c r="A667" s="6" t="s">
        <v>666</v>
      </c>
      <c r="B667" s="7" t="n">
        <v>0.055131</v>
      </c>
      <c r="C667" s="7" t="n">
        <f aca="false">((1+B667/100)^21-1)*100</f>
        <v>1.16415613879781</v>
      </c>
    </row>
    <row r="668" customFormat="false" ht="15" hidden="false" customHeight="false" outlineLevel="0" collapsed="false">
      <c r="A668" s="6" t="s">
        <v>667</v>
      </c>
      <c r="B668" s="7" t="n">
        <v>0.055131</v>
      </c>
      <c r="C668" s="7" t="n">
        <f aca="false">((1+B668/100)^21-1)*100</f>
        <v>1.16415613879781</v>
      </c>
    </row>
    <row r="669" customFormat="false" ht="15" hidden="false" customHeight="false" outlineLevel="0" collapsed="false">
      <c r="A669" s="6" t="s">
        <v>668</v>
      </c>
      <c r="B669" s="7" t="n">
        <v>0.055131</v>
      </c>
      <c r="C669" s="7" t="n">
        <f aca="false">((1+B669/100)^21-1)*100</f>
        <v>1.16415613879781</v>
      </c>
    </row>
    <row r="670" customFormat="false" ht="15" hidden="false" customHeight="false" outlineLevel="0" collapsed="false">
      <c r="A670" s="6" t="s">
        <v>669</v>
      </c>
      <c r="B670" s="7" t="n">
        <v>0.055131</v>
      </c>
      <c r="C670" s="7" t="n">
        <f aca="false">((1+B670/100)^21-1)*100</f>
        <v>1.16415613879781</v>
      </c>
    </row>
    <row r="671" customFormat="false" ht="15" hidden="false" customHeight="false" outlineLevel="0" collapsed="false">
      <c r="A671" s="6" t="s">
        <v>670</v>
      </c>
      <c r="B671" s="7" t="n">
        <v>0.055131</v>
      </c>
      <c r="C671" s="7" t="n">
        <f aca="false">((1+B671/100)^21-1)*100</f>
        <v>1.16415613879781</v>
      </c>
    </row>
    <row r="672" customFormat="false" ht="15" hidden="false" customHeight="false" outlineLevel="0" collapsed="false">
      <c r="A672" s="6" t="s">
        <v>671</v>
      </c>
      <c r="B672" s="7" t="n">
        <v>0.055131</v>
      </c>
      <c r="C672" s="7" t="n">
        <f aca="false">((1+B672/100)^21-1)*100</f>
        <v>1.16415613879781</v>
      </c>
    </row>
    <row r="673" customFormat="false" ht="15" hidden="false" customHeight="false" outlineLevel="0" collapsed="false">
      <c r="A673" s="6" t="s">
        <v>672</v>
      </c>
      <c r="B673" s="7" t="n">
        <v>0.055131</v>
      </c>
      <c r="C673" s="7" t="n">
        <f aca="false">((1+B673/100)^21-1)*100</f>
        <v>1.16415613879781</v>
      </c>
    </row>
    <row r="674" customFormat="false" ht="15" hidden="false" customHeight="false" outlineLevel="0" collapsed="false">
      <c r="A674" s="6" t="s">
        <v>673</v>
      </c>
      <c r="B674" s="7" t="n">
        <v>0.055131</v>
      </c>
      <c r="C674" s="7" t="n">
        <f aca="false">((1+B674/100)^21-1)*100</f>
        <v>1.16415613879781</v>
      </c>
    </row>
    <row r="675" customFormat="false" ht="15" hidden="false" customHeight="false" outlineLevel="0" collapsed="false">
      <c r="A675" s="6" t="s">
        <v>674</v>
      </c>
      <c r="B675" s="7" t="n">
        <v>0.055131</v>
      </c>
      <c r="C675" s="7" t="n">
        <f aca="false">((1+B675/100)^21-1)*100</f>
        <v>1.16415613879781</v>
      </c>
    </row>
    <row r="676" customFormat="false" ht="15" hidden="false" customHeight="false" outlineLevel="0" collapsed="false">
      <c r="A676" s="6" t="s">
        <v>675</v>
      </c>
      <c r="B676" s="7" t="n">
        <v>0.055131</v>
      </c>
      <c r="C676" s="7" t="n">
        <f aca="false">((1+B676/100)^21-1)*100</f>
        <v>1.16415613879781</v>
      </c>
    </row>
    <row r="677" customFormat="false" ht="15" hidden="false" customHeight="false" outlineLevel="0" collapsed="false">
      <c r="A677" s="6" t="s">
        <v>676</v>
      </c>
      <c r="B677" s="7" t="n">
        <v>0.055131</v>
      </c>
      <c r="C677" s="7" t="n">
        <f aca="false">((1+B677/100)^21-1)*100</f>
        <v>1.16415613879781</v>
      </c>
    </row>
    <row r="678" customFormat="false" ht="15" hidden="false" customHeight="false" outlineLevel="0" collapsed="false">
      <c r="A678" s="6" t="s">
        <v>677</v>
      </c>
      <c r="B678" s="7" t="n">
        <v>0.055131</v>
      </c>
      <c r="C678" s="7" t="n">
        <f aca="false">((1+B678/100)^21-1)*100</f>
        <v>1.16415613879781</v>
      </c>
    </row>
    <row r="679" customFormat="false" ht="15" hidden="false" customHeight="false" outlineLevel="0" collapsed="false">
      <c r="A679" s="6" t="s">
        <v>678</v>
      </c>
      <c r="B679" s="7" t="n">
        <v>0.055131</v>
      </c>
      <c r="C679" s="7" t="n">
        <f aca="false">((1+B679/100)^21-1)*100</f>
        <v>1.16415613879781</v>
      </c>
    </row>
    <row r="680" customFormat="false" ht="15" hidden="false" customHeight="false" outlineLevel="0" collapsed="false">
      <c r="A680" s="6" t="s">
        <v>679</v>
      </c>
      <c r="B680" s="7" t="n">
        <v>0.055131</v>
      </c>
      <c r="C680" s="7" t="n">
        <f aca="false">((1+B680/100)^21-1)*100</f>
        <v>1.16415613879781</v>
      </c>
    </row>
    <row r="681" customFormat="false" ht="15" hidden="false" customHeight="false" outlineLevel="0" collapsed="false">
      <c r="A681" s="6" t="s">
        <v>680</v>
      </c>
      <c r="B681" s="7" t="n">
        <v>0.055131</v>
      </c>
      <c r="C681" s="7" t="n">
        <f aca="false">((1+B681/100)^21-1)*100</f>
        <v>1.16415613879781</v>
      </c>
    </row>
    <row r="682" customFormat="false" ht="15" hidden="false" customHeight="false" outlineLevel="0" collapsed="false">
      <c r="A682" s="6" t="s">
        <v>681</v>
      </c>
      <c r="B682" s="7" t="n">
        <v>0.055131</v>
      </c>
      <c r="C682" s="7" t="n">
        <f aca="false">((1+B682/100)^21-1)*100</f>
        <v>1.16415613879781</v>
      </c>
    </row>
    <row r="683" customFormat="false" ht="15" hidden="false" customHeight="false" outlineLevel="0" collapsed="false">
      <c r="A683" s="6" t="s">
        <v>682</v>
      </c>
      <c r="B683" s="7" t="n">
        <v>0.055131</v>
      </c>
      <c r="C683" s="7" t="n">
        <f aca="false">((1+B683/100)^21-1)*100</f>
        <v>1.16415613879781</v>
      </c>
    </row>
    <row r="684" customFormat="false" ht="15" hidden="false" customHeight="false" outlineLevel="0" collapsed="false">
      <c r="A684" s="6" t="s">
        <v>683</v>
      </c>
      <c r="B684" s="7" t="n">
        <v>0.055131</v>
      </c>
      <c r="C684" s="7" t="n">
        <f aca="false">((1+B684/100)^21-1)*100</f>
        <v>1.16415613879781</v>
      </c>
    </row>
    <row r="685" customFormat="false" ht="15" hidden="false" customHeight="false" outlineLevel="0" collapsed="false">
      <c r="A685" s="6" t="s">
        <v>684</v>
      </c>
      <c r="B685" s="7" t="n">
        <v>0.055131</v>
      </c>
      <c r="C685" s="7" t="n">
        <f aca="false">((1+B685/100)^21-1)*100</f>
        <v>1.16415613879781</v>
      </c>
    </row>
    <row r="686" customFormat="false" ht="15" hidden="false" customHeight="false" outlineLevel="0" collapsed="false">
      <c r="A686" s="6" t="s">
        <v>685</v>
      </c>
      <c r="B686" s="7" t="n">
        <v>0.055131</v>
      </c>
      <c r="C686" s="7" t="n">
        <f aca="false">((1+B686/100)^21-1)*100</f>
        <v>1.16415613879781</v>
      </c>
    </row>
    <row r="687" customFormat="false" ht="15" hidden="false" customHeight="false" outlineLevel="0" collapsed="false">
      <c r="A687" s="6" t="s">
        <v>686</v>
      </c>
      <c r="B687" s="7" t="n">
        <v>0.055131</v>
      </c>
      <c r="C687" s="7" t="n">
        <f aca="false">((1+B687/100)^21-1)*100</f>
        <v>1.16415613879781</v>
      </c>
    </row>
    <row r="688" customFormat="false" ht="15" hidden="false" customHeight="false" outlineLevel="0" collapsed="false">
      <c r="A688" s="6" t="s">
        <v>687</v>
      </c>
      <c r="B688" s="7" t="n">
        <v>0.055131</v>
      </c>
      <c r="C688" s="7" t="n">
        <f aca="false">((1+B688/100)^21-1)*100</f>
        <v>1.16415613879781</v>
      </c>
    </row>
    <row r="689" customFormat="false" ht="15" hidden="false" customHeight="false" outlineLevel="0" collapsed="false">
      <c r="A689" s="6" t="s">
        <v>688</v>
      </c>
      <c r="B689" s="7" t="n">
        <v>0.055131</v>
      </c>
      <c r="C689" s="7" t="n">
        <f aca="false">((1+B689/100)^21-1)*100</f>
        <v>1.16415613879781</v>
      </c>
    </row>
    <row r="690" customFormat="false" ht="15" hidden="false" customHeight="false" outlineLevel="0" collapsed="false">
      <c r="A690" s="6" t="s">
        <v>689</v>
      </c>
      <c r="B690" s="7" t="n">
        <v>0.055131</v>
      </c>
      <c r="C690" s="7" t="n">
        <f aca="false">((1+B690/100)^21-1)*100</f>
        <v>1.16415613879781</v>
      </c>
    </row>
    <row r="691" customFormat="false" ht="15" hidden="false" customHeight="false" outlineLevel="0" collapsed="false">
      <c r="A691" s="6" t="s">
        <v>690</v>
      </c>
      <c r="B691" s="7" t="n">
        <v>0.055131</v>
      </c>
      <c r="C691" s="7" t="n">
        <f aca="false">((1+B691/100)^21-1)*100</f>
        <v>1.16415613879781</v>
      </c>
    </row>
    <row r="692" customFormat="false" ht="15" hidden="false" customHeight="false" outlineLevel="0" collapsed="false">
      <c r="A692" s="6" t="s">
        <v>691</v>
      </c>
      <c r="B692" s="7" t="n">
        <v>0.055131</v>
      </c>
      <c r="C692" s="7" t="n">
        <f aca="false">((1+B692/100)^21-1)*100</f>
        <v>1.16415613879781</v>
      </c>
    </row>
    <row r="693" customFormat="false" ht="15" hidden="false" customHeight="false" outlineLevel="0" collapsed="false">
      <c r="A693" s="6" t="s">
        <v>692</v>
      </c>
      <c r="B693" s="7" t="n">
        <v>0.055131</v>
      </c>
      <c r="C693" s="7" t="n">
        <f aca="false">((1+B693/100)^21-1)*100</f>
        <v>1.16415613879781</v>
      </c>
    </row>
    <row r="694" customFormat="false" ht="15" hidden="false" customHeight="false" outlineLevel="0" collapsed="false">
      <c r="A694" s="6" t="s">
        <v>693</v>
      </c>
      <c r="B694" s="7" t="n">
        <v>0.055131</v>
      </c>
      <c r="C694" s="7" t="n">
        <f aca="false">((1+B694/100)^21-1)*100</f>
        <v>1.16415613879781</v>
      </c>
    </row>
    <row r="695" customFormat="false" ht="15" hidden="false" customHeight="false" outlineLevel="0" collapsed="false">
      <c r="A695" s="6" t="s">
        <v>694</v>
      </c>
      <c r="B695" s="7" t="n">
        <v>0.055131</v>
      </c>
      <c r="C695" s="7" t="n">
        <f aca="false">((1+B695/100)^21-1)*100</f>
        <v>1.16415613879781</v>
      </c>
    </row>
    <row r="696" customFormat="false" ht="15" hidden="false" customHeight="false" outlineLevel="0" collapsed="false">
      <c r="A696" s="6" t="s">
        <v>695</v>
      </c>
      <c r="B696" s="7" t="n">
        <v>0.055131</v>
      </c>
      <c r="C696" s="7" t="n">
        <f aca="false">((1+B696/100)^21-1)*100</f>
        <v>1.16415613879781</v>
      </c>
    </row>
    <row r="697" customFormat="false" ht="15" hidden="false" customHeight="false" outlineLevel="0" collapsed="false">
      <c r="A697" s="6" t="s">
        <v>696</v>
      </c>
      <c r="B697" s="7" t="n">
        <v>0.055131</v>
      </c>
      <c r="C697" s="7" t="n">
        <f aca="false">((1+B697/100)^21-1)*100</f>
        <v>1.16415613879781</v>
      </c>
    </row>
    <row r="698" customFormat="false" ht="15" hidden="false" customHeight="false" outlineLevel="0" collapsed="false">
      <c r="A698" s="6" t="s">
        <v>697</v>
      </c>
      <c r="B698" s="7" t="n">
        <v>0.055131</v>
      </c>
      <c r="C698" s="7" t="n">
        <f aca="false">((1+B698/100)^21-1)*100</f>
        <v>1.16415613879781</v>
      </c>
    </row>
    <row r="699" customFormat="false" ht="15" hidden="false" customHeight="false" outlineLevel="0" collapsed="false">
      <c r="A699" s="6" t="s">
        <v>698</v>
      </c>
      <c r="B699" s="7" t="n">
        <v>0.055131</v>
      </c>
      <c r="C699" s="7" t="n">
        <f aca="false">((1+B699/100)^21-1)*100</f>
        <v>1.16415613879781</v>
      </c>
    </row>
    <row r="700" customFormat="false" ht="15" hidden="false" customHeight="false" outlineLevel="0" collapsed="false">
      <c r="A700" s="6" t="s">
        <v>699</v>
      </c>
      <c r="B700" s="7" t="n">
        <v>0.055131</v>
      </c>
      <c r="C700" s="7" t="n">
        <f aca="false">((1+B700/100)^21-1)*100</f>
        <v>1.16415613879781</v>
      </c>
    </row>
    <row r="701" customFormat="false" ht="15" hidden="false" customHeight="false" outlineLevel="0" collapsed="false">
      <c r="A701" s="6" t="s">
        <v>700</v>
      </c>
      <c r="B701" s="7" t="n">
        <v>0.055131</v>
      </c>
      <c r="C701" s="7" t="n">
        <f aca="false">((1+B701/100)^21-1)*100</f>
        <v>1.16415613879781</v>
      </c>
    </row>
    <row r="702" customFormat="false" ht="15" hidden="false" customHeight="false" outlineLevel="0" collapsed="false">
      <c r="A702" s="6" t="s">
        <v>701</v>
      </c>
      <c r="B702" s="7" t="n">
        <v>0.055131</v>
      </c>
      <c r="C702" s="7" t="n">
        <f aca="false">((1+B702/100)^21-1)*100</f>
        <v>1.16415613879781</v>
      </c>
    </row>
    <row r="703" customFormat="false" ht="15" hidden="false" customHeight="false" outlineLevel="0" collapsed="false">
      <c r="A703" s="6" t="s">
        <v>702</v>
      </c>
      <c r="B703" s="7" t="n">
        <v>0.055131</v>
      </c>
      <c r="C703" s="7" t="n">
        <f aca="false">((1+B703/100)^21-1)*100</f>
        <v>1.16415613879781</v>
      </c>
    </row>
    <row r="704" customFormat="false" ht="15" hidden="false" customHeight="false" outlineLevel="0" collapsed="false">
      <c r="A704" s="6" t="s">
        <v>703</v>
      </c>
      <c r="B704" s="7" t="n">
        <v>0.055131</v>
      </c>
      <c r="C704" s="7" t="n">
        <f aca="false">((1+B704/100)^21-1)*100</f>
        <v>1.16415613879781</v>
      </c>
    </row>
    <row r="705" customFormat="false" ht="15" hidden="false" customHeight="false" outlineLevel="0" collapsed="false">
      <c r="A705" s="6" t="s">
        <v>704</v>
      </c>
      <c r="B705" s="7" t="n">
        <v>0.055131</v>
      </c>
      <c r="C705" s="7" t="n">
        <f aca="false">((1+B705/100)^21-1)*100</f>
        <v>1.16415613879781</v>
      </c>
    </row>
    <row r="706" customFormat="false" ht="15" hidden="false" customHeight="false" outlineLevel="0" collapsed="false">
      <c r="A706" s="6" t="s">
        <v>705</v>
      </c>
      <c r="B706" s="7" t="n">
        <v>0.055131</v>
      </c>
      <c r="C706" s="7" t="n">
        <f aca="false">((1+B706/100)^21-1)*100</f>
        <v>1.16415613879781</v>
      </c>
    </row>
    <row r="707" customFormat="false" ht="15" hidden="false" customHeight="false" outlineLevel="0" collapsed="false">
      <c r="A707" s="6" t="s">
        <v>706</v>
      </c>
      <c r="B707" s="7" t="n">
        <v>0.055131</v>
      </c>
      <c r="C707" s="7" t="n">
        <f aca="false">((1+B707/100)^21-1)*100</f>
        <v>1.16415613879781</v>
      </c>
    </row>
    <row r="708" customFormat="false" ht="15" hidden="false" customHeight="false" outlineLevel="0" collapsed="false">
      <c r="A708" s="6" t="s">
        <v>707</v>
      </c>
      <c r="B708" s="7" t="n">
        <v>0.055131</v>
      </c>
      <c r="C708" s="7" t="n">
        <f aca="false">((1+B708/100)^21-1)*100</f>
        <v>1.16415613879781</v>
      </c>
    </row>
    <row r="709" customFormat="false" ht="15" hidden="false" customHeight="false" outlineLevel="0" collapsed="false">
      <c r="A709" s="6" t="s">
        <v>708</v>
      </c>
      <c r="B709" s="7" t="n">
        <v>0.055131</v>
      </c>
      <c r="C709" s="7" t="n">
        <f aca="false">((1+B709/100)^21-1)*100</f>
        <v>1.16415613879781</v>
      </c>
    </row>
    <row r="710" customFormat="false" ht="15" hidden="false" customHeight="false" outlineLevel="0" collapsed="false">
      <c r="A710" s="6" t="s">
        <v>709</v>
      </c>
      <c r="B710" s="7" t="n">
        <v>0.055131</v>
      </c>
      <c r="C710" s="7" t="n">
        <f aca="false">((1+B710/100)^21-1)*100</f>
        <v>1.16415613879781</v>
      </c>
    </row>
    <row r="711" customFormat="false" ht="15" hidden="false" customHeight="false" outlineLevel="0" collapsed="false">
      <c r="A711" s="6" t="s">
        <v>710</v>
      </c>
      <c r="B711" s="7" t="n">
        <v>0.055131</v>
      </c>
      <c r="C711" s="7" t="n">
        <f aca="false">((1+B711/100)^21-1)*100</f>
        <v>1.16415613879781</v>
      </c>
    </row>
    <row r="712" customFormat="false" ht="15" hidden="false" customHeight="false" outlineLevel="0" collapsed="false">
      <c r="A712" s="6" t="s">
        <v>711</v>
      </c>
      <c r="B712" s="7" t="n">
        <v>0.055131</v>
      </c>
      <c r="C712" s="7" t="n">
        <f aca="false">((1+B712/100)^21-1)*100</f>
        <v>1.16415613879781</v>
      </c>
    </row>
    <row r="713" customFormat="false" ht="15" hidden="false" customHeight="false" outlineLevel="0" collapsed="false">
      <c r="A713" s="6" t="s">
        <v>712</v>
      </c>
      <c r="B713" s="7" t="n">
        <v>0.055131</v>
      </c>
      <c r="C713" s="7" t="n">
        <f aca="false">((1+B713/100)^21-1)*100</f>
        <v>1.16415613879781</v>
      </c>
    </row>
    <row r="714" customFormat="false" ht="15" hidden="false" customHeight="false" outlineLevel="0" collapsed="false">
      <c r="A714" s="6" t="s">
        <v>713</v>
      </c>
      <c r="B714" s="7" t="n">
        <v>0.055131</v>
      </c>
      <c r="C714" s="7" t="n">
        <f aca="false">((1+B714/100)^21-1)*100</f>
        <v>1.16415613879781</v>
      </c>
    </row>
    <row r="715" customFormat="false" ht="15" hidden="false" customHeight="false" outlineLevel="0" collapsed="false">
      <c r="A715" s="6" t="s">
        <v>714</v>
      </c>
      <c r="B715" s="7" t="n">
        <v>0.055131</v>
      </c>
      <c r="C715" s="7" t="n">
        <f aca="false">((1+B715/100)^21-1)*100</f>
        <v>1.16415613879781</v>
      </c>
    </row>
    <row r="716" customFormat="false" ht="15" hidden="false" customHeight="false" outlineLevel="0" collapsed="false">
      <c r="A716" s="6" t="s">
        <v>715</v>
      </c>
      <c r="B716" s="7" t="n">
        <v>0.055131</v>
      </c>
      <c r="C716" s="7" t="n">
        <f aca="false">((1+B716/100)^21-1)*100</f>
        <v>1.16415613879781</v>
      </c>
    </row>
    <row r="717" customFormat="false" ht="15" hidden="false" customHeight="false" outlineLevel="0" collapsed="false">
      <c r="A717" s="6" t="s">
        <v>716</v>
      </c>
      <c r="B717" s="7" t="n">
        <v>0.055131</v>
      </c>
      <c r="C717" s="7" t="n">
        <f aca="false">((1+B717/100)^21-1)*100</f>
        <v>1.16415613879781</v>
      </c>
    </row>
    <row r="718" customFormat="false" ht="15" hidden="false" customHeight="false" outlineLevel="0" collapsed="false">
      <c r="A718" s="6" t="s">
        <v>717</v>
      </c>
      <c r="B718" s="7" t="n">
        <v>0.055131</v>
      </c>
      <c r="C718" s="7" t="n">
        <f aca="false">((1+B718/100)^21-1)*100</f>
        <v>1.16415613879781</v>
      </c>
    </row>
    <row r="719" customFormat="false" ht="15" hidden="false" customHeight="false" outlineLevel="0" collapsed="false">
      <c r="A719" s="6" t="s">
        <v>718</v>
      </c>
      <c r="B719" s="7" t="n">
        <v>0.055131</v>
      </c>
      <c r="C719" s="7" t="n">
        <f aca="false">((1+B719/100)^21-1)*100</f>
        <v>1.16415613879781</v>
      </c>
    </row>
    <row r="720" customFormat="false" ht="15" hidden="false" customHeight="false" outlineLevel="0" collapsed="false">
      <c r="A720" s="6" t="s">
        <v>719</v>
      </c>
      <c r="B720" s="7" t="n">
        <v>0.055131</v>
      </c>
      <c r="C720" s="7" t="n">
        <f aca="false">((1+B720/100)^21-1)*100</f>
        <v>1.16415613879781</v>
      </c>
    </row>
    <row r="721" customFormat="false" ht="15" hidden="false" customHeight="false" outlineLevel="0" collapsed="false">
      <c r="A721" s="6" t="s">
        <v>720</v>
      </c>
      <c r="B721" s="7" t="n">
        <v>0.055131</v>
      </c>
      <c r="C721" s="7" t="n">
        <f aca="false">((1+B721/100)^21-1)*100</f>
        <v>1.16415613879781</v>
      </c>
    </row>
    <row r="722" customFormat="false" ht="15" hidden="false" customHeight="false" outlineLevel="0" collapsed="false">
      <c r="A722" s="6" t="s">
        <v>721</v>
      </c>
      <c r="B722" s="7" t="n">
        <v>0.055131</v>
      </c>
      <c r="C722" s="7" t="n">
        <f aca="false">((1+B722/100)^21-1)*100</f>
        <v>1.16415613879781</v>
      </c>
    </row>
    <row r="723" customFormat="false" ht="15" hidden="false" customHeight="false" outlineLevel="0" collapsed="false">
      <c r="A723" s="6" t="s">
        <v>722</v>
      </c>
      <c r="B723" s="7" t="n">
        <v>0.055131</v>
      </c>
      <c r="C723" s="7" t="n">
        <f aca="false">((1+B723/100)^21-1)*100</f>
        <v>1.16415613879781</v>
      </c>
    </row>
    <row r="724" customFormat="false" ht="15" hidden="false" customHeight="false" outlineLevel="0" collapsed="false">
      <c r="A724" s="6" t="s">
        <v>723</v>
      </c>
      <c r="B724" s="7" t="n">
        <v>0.055131</v>
      </c>
      <c r="C724" s="7" t="n">
        <f aca="false">((1+B724/100)^21-1)*100</f>
        <v>1.16415613879781</v>
      </c>
    </row>
    <row r="725" customFormat="false" ht="15" hidden="false" customHeight="false" outlineLevel="0" collapsed="false">
      <c r="A725" s="6" t="s">
        <v>724</v>
      </c>
      <c r="B725" s="7" t="n">
        <v>0.055131</v>
      </c>
      <c r="C725" s="7" t="n">
        <f aca="false">((1+B725/100)^21-1)*100</f>
        <v>1.16415613879781</v>
      </c>
    </row>
    <row r="726" customFormat="false" ht="15" hidden="false" customHeight="false" outlineLevel="0" collapsed="false">
      <c r="A726" s="6" t="s">
        <v>725</v>
      </c>
      <c r="B726" s="7" t="n">
        <v>0.055131</v>
      </c>
      <c r="C726" s="7" t="n">
        <f aca="false">((1+B726/100)^21-1)*100</f>
        <v>1.16415613879781</v>
      </c>
    </row>
    <row r="727" customFormat="false" ht="15" hidden="false" customHeight="false" outlineLevel="0" collapsed="false">
      <c r="A727" s="6" t="s">
        <v>726</v>
      </c>
      <c r="B727" s="7" t="n">
        <v>0.055131</v>
      </c>
      <c r="C727" s="7" t="n">
        <f aca="false">((1+B727/100)^21-1)*100</f>
        <v>1.16415613879781</v>
      </c>
    </row>
    <row r="728" customFormat="false" ht="15" hidden="false" customHeight="false" outlineLevel="0" collapsed="false">
      <c r="A728" s="6" t="s">
        <v>727</v>
      </c>
      <c r="B728" s="7" t="n">
        <v>0.055131</v>
      </c>
      <c r="C728" s="7" t="n">
        <f aca="false">((1+B728/100)^21-1)*100</f>
        <v>1.16415613879781</v>
      </c>
    </row>
    <row r="729" customFormat="false" ht="15" hidden="false" customHeight="false" outlineLevel="0" collapsed="false">
      <c r="A729" s="6" t="s">
        <v>728</v>
      </c>
      <c r="B729" s="7" t="n">
        <v>0.055131</v>
      </c>
      <c r="C729" s="7" t="n">
        <f aca="false">((1+B729/100)^21-1)*100</f>
        <v>1.16415613879781</v>
      </c>
    </row>
    <row r="730" customFormat="false" ht="15" hidden="false" customHeight="false" outlineLevel="0" collapsed="false">
      <c r="A730" s="6" t="s">
        <v>729</v>
      </c>
      <c r="B730" s="7" t="n">
        <v>0.055131</v>
      </c>
      <c r="C730" s="7" t="n">
        <f aca="false">((1+B730/100)^21-1)*100</f>
        <v>1.16415613879781</v>
      </c>
    </row>
    <row r="731" customFormat="false" ht="15" hidden="false" customHeight="false" outlineLevel="0" collapsed="false">
      <c r="A731" s="6" t="s">
        <v>730</v>
      </c>
      <c r="B731" s="7" t="n">
        <v>0.055131</v>
      </c>
      <c r="C731" s="7" t="n">
        <f aca="false">((1+B731/100)^21-1)*100</f>
        <v>1.16415613879781</v>
      </c>
    </row>
    <row r="732" customFormat="false" ht="15" hidden="false" customHeight="false" outlineLevel="0" collapsed="false">
      <c r="A732" s="6" t="s">
        <v>731</v>
      </c>
      <c r="B732" s="7" t="n">
        <v>0.055131</v>
      </c>
      <c r="C732" s="7" t="n">
        <f aca="false">((1+B732/100)^21-1)*100</f>
        <v>1.16415613879781</v>
      </c>
    </row>
    <row r="733" customFormat="false" ht="15" hidden="false" customHeight="false" outlineLevel="0" collapsed="false">
      <c r="A733" s="6" t="s">
        <v>732</v>
      </c>
      <c r="B733" s="7" t="n">
        <v>0.055131</v>
      </c>
      <c r="C733" s="7" t="n">
        <f aca="false">((1+B733/100)^21-1)*100</f>
        <v>1.16415613879781</v>
      </c>
    </row>
    <row r="734" customFormat="false" ht="15" hidden="false" customHeight="false" outlineLevel="0" collapsed="false">
      <c r="A734" s="6" t="s">
        <v>733</v>
      </c>
      <c r="B734" s="7" t="n">
        <v>0.055131</v>
      </c>
      <c r="C734" s="7" t="n">
        <f aca="false">((1+B734/100)^21-1)*100</f>
        <v>1.16415613879781</v>
      </c>
    </row>
    <row r="735" customFormat="false" ht="15" hidden="false" customHeight="false" outlineLevel="0" collapsed="false">
      <c r="A735" s="6" t="s">
        <v>734</v>
      </c>
      <c r="B735" s="7" t="n">
        <v>0.055131</v>
      </c>
      <c r="C735" s="7" t="n">
        <f aca="false">((1+B735/100)^21-1)*100</f>
        <v>1.16415613879781</v>
      </c>
    </row>
    <row r="736" customFormat="false" ht="15" hidden="false" customHeight="false" outlineLevel="0" collapsed="false">
      <c r="A736" s="6" t="s">
        <v>735</v>
      </c>
      <c r="B736" s="7" t="n">
        <v>0.055131</v>
      </c>
      <c r="C736" s="7" t="n">
        <f aca="false">((1+B736/100)^21-1)*100</f>
        <v>1.16415613879781</v>
      </c>
    </row>
    <row r="737" customFormat="false" ht="15" hidden="false" customHeight="false" outlineLevel="0" collapsed="false">
      <c r="A737" s="6" t="s">
        <v>736</v>
      </c>
      <c r="B737" s="7" t="n">
        <v>0.055131</v>
      </c>
      <c r="C737" s="7" t="n">
        <f aca="false">((1+B737/100)^21-1)*100</f>
        <v>1.16415613879781</v>
      </c>
    </row>
    <row r="738" customFormat="false" ht="15" hidden="false" customHeight="false" outlineLevel="0" collapsed="false">
      <c r="A738" s="6" t="s">
        <v>737</v>
      </c>
      <c r="B738" s="7" t="n">
        <v>0.055131</v>
      </c>
      <c r="C738" s="7" t="n">
        <f aca="false">((1+B738/100)^21-1)*100</f>
        <v>1.16415613879781</v>
      </c>
    </row>
    <row r="739" customFormat="false" ht="15" hidden="false" customHeight="false" outlineLevel="0" collapsed="false">
      <c r="A739" s="6" t="s">
        <v>738</v>
      </c>
      <c r="B739" s="7" t="n">
        <v>0.055131</v>
      </c>
      <c r="C739" s="7" t="n">
        <f aca="false">((1+B739/100)^21-1)*100</f>
        <v>1.16415613879781</v>
      </c>
    </row>
    <row r="740" customFormat="false" ht="15" hidden="false" customHeight="false" outlineLevel="0" collapsed="false">
      <c r="A740" s="6" t="s">
        <v>739</v>
      </c>
      <c r="B740" s="7" t="n">
        <v>0.055131</v>
      </c>
      <c r="C740" s="7" t="n">
        <f aca="false">((1+B740/100)^21-1)*100</f>
        <v>1.16415613879781</v>
      </c>
    </row>
    <row r="741" customFormat="false" ht="15" hidden="false" customHeight="false" outlineLevel="0" collapsed="false">
      <c r="A741" s="6" t="s">
        <v>740</v>
      </c>
      <c r="B741" s="7" t="n">
        <v>0.055131</v>
      </c>
      <c r="C741" s="7" t="n">
        <f aca="false">((1+B741/100)^21-1)*100</f>
        <v>1.16415613879781</v>
      </c>
    </row>
    <row r="742" customFormat="false" ht="15" hidden="false" customHeight="false" outlineLevel="0" collapsed="false">
      <c r="A742" s="6" t="s">
        <v>741</v>
      </c>
      <c r="B742" s="7" t="n">
        <v>0.055131</v>
      </c>
      <c r="C742" s="7" t="n">
        <f aca="false">((1+B742/100)^21-1)*100</f>
        <v>1.16415613879781</v>
      </c>
    </row>
    <row r="743" customFormat="false" ht="15" hidden="false" customHeight="false" outlineLevel="0" collapsed="false">
      <c r="A743" s="6" t="s">
        <v>742</v>
      </c>
      <c r="B743" s="7" t="n">
        <v>0.055131</v>
      </c>
      <c r="C743" s="7" t="n">
        <f aca="false">((1+B743/100)^21-1)*100</f>
        <v>1.16415613879781</v>
      </c>
    </row>
    <row r="744" customFormat="false" ht="15" hidden="false" customHeight="false" outlineLevel="0" collapsed="false">
      <c r="A744" s="6" t="s">
        <v>743</v>
      </c>
      <c r="B744" s="7" t="n">
        <v>0.055131</v>
      </c>
      <c r="C744" s="7" t="n">
        <f aca="false">((1+B744/100)^21-1)*100</f>
        <v>1.16415613879781</v>
      </c>
    </row>
    <row r="745" customFormat="false" ht="15" hidden="false" customHeight="false" outlineLevel="0" collapsed="false">
      <c r="A745" s="6" t="s">
        <v>744</v>
      </c>
      <c r="B745" s="7" t="n">
        <v>0.055131</v>
      </c>
      <c r="C745" s="7" t="n">
        <f aca="false">((1+B745/100)^21-1)*100</f>
        <v>1.16415613879781</v>
      </c>
    </row>
    <row r="746" customFormat="false" ht="15" hidden="false" customHeight="false" outlineLevel="0" collapsed="false">
      <c r="A746" s="6" t="s">
        <v>745</v>
      </c>
      <c r="B746" s="7" t="n">
        <v>0.055131</v>
      </c>
      <c r="C746" s="7" t="n">
        <f aca="false">((1+B746/100)^21-1)*100</f>
        <v>1.16415613879781</v>
      </c>
    </row>
    <row r="747" customFormat="false" ht="15" hidden="false" customHeight="false" outlineLevel="0" collapsed="false">
      <c r="A747" s="6" t="s">
        <v>746</v>
      </c>
      <c r="B747" s="7" t="n">
        <v>0.055131</v>
      </c>
      <c r="C747" s="7" t="n">
        <f aca="false">((1+B747/100)^21-1)*100</f>
        <v>1.16415613879781</v>
      </c>
    </row>
    <row r="748" customFormat="false" ht="15" hidden="false" customHeight="false" outlineLevel="0" collapsed="false">
      <c r="A748" s="6" t="s">
        <v>747</v>
      </c>
      <c r="B748" s="7" t="n">
        <v>0.055131</v>
      </c>
      <c r="C748" s="7" t="n">
        <f aca="false">((1+B748/100)^21-1)*100</f>
        <v>1.16415613879781</v>
      </c>
    </row>
    <row r="749" customFormat="false" ht="15" hidden="false" customHeight="false" outlineLevel="0" collapsed="false">
      <c r="A749" s="6" t="s">
        <v>748</v>
      </c>
      <c r="B749" s="7" t="n">
        <v>0.055131</v>
      </c>
      <c r="C749" s="7" t="n">
        <f aca="false">((1+B749/100)^21-1)*100</f>
        <v>1.16415613879781</v>
      </c>
    </row>
    <row r="750" customFormat="false" ht="15" hidden="false" customHeight="false" outlineLevel="0" collapsed="false">
      <c r="A750" s="6" t="s">
        <v>749</v>
      </c>
      <c r="B750" s="7" t="n">
        <v>0.055131</v>
      </c>
      <c r="C750" s="7" t="n">
        <f aca="false">((1+B750/100)^21-1)*100</f>
        <v>1.16415613879781</v>
      </c>
    </row>
    <row r="751" customFormat="false" ht="15" hidden="false" customHeight="false" outlineLevel="0" collapsed="false">
      <c r="A751" s="6" t="s">
        <v>750</v>
      </c>
      <c r="B751" s="7" t="n">
        <v>0.055131</v>
      </c>
      <c r="C751" s="7" t="n">
        <f aca="false">((1+B751/100)^21-1)*100</f>
        <v>1.16415613879781</v>
      </c>
    </row>
    <row r="752" customFormat="false" ht="15" hidden="false" customHeight="false" outlineLevel="0" collapsed="false">
      <c r="A752" s="6" t="s">
        <v>751</v>
      </c>
      <c r="B752" s="7" t="n">
        <v>0.055131</v>
      </c>
      <c r="C752" s="7" t="n">
        <f aca="false">((1+B752/100)^21-1)*100</f>
        <v>1.16415613879781</v>
      </c>
    </row>
    <row r="753" customFormat="false" ht="15" hidden="false" customHeight="false" outlineLevel="0" collapsed="false">
      <c r="A753" s="6" t="s">
        <v>752</v>
      </c>
      <c r="B753" s="7" t="n">
        <v>0.055131</v>
      </c>
      <c r="C753" s="7" t="n">
        <f aca="false">((1+B753/100)^21-1)*100</f>
        <v>1.16415613879781</v>
      </c>
    </row>
    <row r="754" customFormat="false" ht="15" hidden="false" customHeight="false" outlineLevel="0" collapsed="false">
      <c r="A754" s="6" t="s">
        <v>753</v>
      </c>
      <c r="B754" s="7" t="n">
        <v>0.055131</v>
      </c>
      <c r="C754" s="7" t="n">
        <f aca="false">((1+B754/100)^21-1)*100</f>
        <v>1.16415613879781</v>
      </c>
    </row>
    <row r="755" customFormat="false" ht="15" hidden="false" customHeight="false" outlineLevel="0" collapsed="false">
      <c r="A755" s="6" t="s">
        <v>754</v>
      </c>
      <c r="B755" s="7" t="n">
        <v>0.055131</v>
      </c>
      <c r="C755" s="7" t="n">
        <f aca="false">((1+B755/100)^21-1)*100</f>
        <v>1.16415613879781</v>
      </c>
    </row>
    <row r="756" customFormat="false" ht="15" hidden="false" customHeight="false" outlineLevel="0" collapsed="false">
      <c r="A756" s="6" t="s">
        <v>755</v>
      </c>
      <c r="B756" s="7" t="n">
        <v>0.055131</v>
      </c>
      <c r="C756" s="7" t="n">
        <f aca="false">((1+B756/100)^21-1)*100</f>
        <v>1.16415613879781</v>
      </c>
    </row>
    <row r="757" customFormat="false" ht="15" hidden="false" customHeight="false" outlineLevel="0" collapsed="false">
      <c r="A757" s="6" t="s">
        <v>756</v>
      </c>
      <c r="B757" s="7" t="n">
        <v>0.055131</v>
      </c>
      <c r="C757" s="7" t="n">
        <f aca="false">((1+B757/100)^21-1)*100</f>
        <v>1.16415613879781</v>
      </c>
    </row>
    <row r="758" customFormat="false" ht="15" hidden="false" customHeight="false" outlineLevel="0" collapsed="false">
      <c r="A758" s="6" t="s">
        <v>757</v>
      </c>
      <c r="B758" s="7" t="n">
        <v>0.055131</v>
      </c>
      <c r="C758" s="7" t="n">
        <f aca="false">((1+B758/100)^21-1)*100</f>
        <v>1.16415613879781</v>
      </c>
    </row>
    <row r="759" customFormat="false" ht="15" hidden="false" customHeight="false" outlineLevel="0" collapsed="false">
      <c r="A759" s="6" t="s">
        <v>758</v>
      </c>
      <c r="B759" s="7" t="n">
        <v>0.055131</v>
      </c>
      <c r="C759" s="7" t="n">
        <f aca="false">((1+B759/100)^21-1)*100</f>
        <v>1.16415613879781</v>
      </c>
    </row>
    <row r="760" customFormat="false" ht="15" hidden="false" customHeight="false" outlineLevel="0" collapsed="false">
      <c r="A760" s="6" t="s">
        <v>759</v>
      </c>
      <c r="B760" s="7" t="n">
        <v>0.055131</v>
      </c>
      <c r="C760" s="7" t="n">
        <f aca="false">((1+B760/100)^21-1)*100</f>
        <v>1.16415613879781</v>
      </c>
    </row>
    <row r="761" customFormat="false" ht="15" hidden="false" customHeight="false" outlineLevel="0" collapsed="false">
      <c r="A761" s="6" t="s">
        <v>760</v>
      </c>
      <c r="B761" s="7" t="n">
        <v>0.055131</v>
      </c>
      <c r="C761" s="7" t="n">
        <f aca="false">((1+B761/100)^21-1)*100</f>
        <v>1.16415613879781</v>
      </c>
    </row>
    <row r="762" customFormat="false" ht="15" hidden="false" customHeight="false" outlineLevel="0" collapsed="false">
      <c r="A762" s="6" t="s">
        <v>761</v>
      </c>
      <c r="B762" s="7" t="n">
        <v>0.055131</v>
      </c>
      <c r="C762" s="7" t="n">
        <f aca="false">((1+B762/100)^21-1)*100</f>
        <v>1.16415613879781</v>
      </c>
    </row>
    <row r="763" customFormat="false" ht="15" hidden="false" customHeight="false" outlineLevel="0" collapsed="false">
      <c r="A763" s="6" t="s">
        <v>762</v>
      </c>
      <c r="B763" s="7" t="n">
        <v>0.055131</v>
      </c>
      <c r="C763" s="7" t="n">
        <f aca="false">((1+B763/100)^21-1)*100</f>
        <v>1.16415613879781</v>
      </c>
    </row>
    <row r="764" customFormat="false" ht="15" hidden="false" customHeight="false" outlineLevel="0" collapsed="false">
      <c r="A764" s="6" t="s">
        <v>763</v>
      </c>
      <c r="B764" s="7" t="n">
        <v>0.055131</v>
      </c>
      <c r="C764" s="7" t="n">
        <f aca="false">((1+B764/100)^21-1)*100</f>
        <v>1.16415613879781</v>
      </c>
    </row>
    <row r="765" customFormat="false" ht="15" hidden="false" customHeight="false" outlineLevel="0" collapsed="false">
      <c r="A765" s="6" t="s">
        <v>764</v>
      </c>
      <c r="B765" s="7" t="n">
        <v>0.055131</v>
      </c>
      <c r="C765" s="7" t="n">
        <f aca="false">((1+B765/100)^21-1)*100</f>
        <v>1.16415613879781</v>
      </c>
    </row>
    <row r="766" customFormat="false" ht="15" hidden="false" customHeight="false" outlineLevel="0" collapsed="false">
      <c r="A766" s="6" t="s">
        <v>765</v>
      </c>
      <c r="B766" s="7" t="n">
        <v>0.055131</v>
      </c>
      <c r="C766" s="7" t="n">
        <f aca="false">((1+B766/100)^21-1)*100</f>
        <v>1.16415613879781</v>
      </c>
    </row>
    <row r="767" customFormat="false" ht="15" hidden="false" customHeight="false" outlineLevel="0" collapsed="false">
      <c r="A767" s="6" t="s">
        <v>766</v>
      </c>
      <c r="B767" s="7" t="n">
        <v>0.055131</v>
      </c>
      <c r="C767" s="7" t="n">
        <f aca="false">((1+B767/100)^21-1)*100</f>
        <v>1.16415613879781</v>
      </c>
    </row>
    <row r="768" customFormat="false" ht="15" hidden="false" customHeight="false" outlineLevel="0" collapsed="false">
      <c r="A768" s="6" t="s">
        <v>767</v>
      </c>
      <c r="B768" s="7" t="n">
        <v>0.055131</v>
      </c>
      <c r="C768" s="7" t="n">
        <f aca="false">((1+B768/100)^21-1)*100</f>
        <v>1.16415613879781</v>
      </c>
    </row>
    <row r="769" customFormat="false" ht="15" hidden="false" customHeight="false" outlineLevel="0" collapsed="false">
      <c r="A769" s="6" t="s">
        <v>768</v>
      </c>
      <c r="B769" s="7" t="n">
        <v>0.055131</v>
      </c>
      <c r="C769" s="7" t="n">
        <f aca="false">((1+B769/100)^21-1)*100</f>
        <v>1.16415613879781</v>
      </c>
    </row>
    <row r="770" customFormat="false" ht="15" hidden="false" customHeight="false" outlineLevel="0" collapsed="false">
      <c r="A770" s="6" t="s">
        <v>769</v>
      </c>
      <c r="B770" s="7" t="n">
        <v>0.055131</v>
      </c>
      <c r="C770" s="7" t="n">
        <f aca="false">((1+B770/100)^21-1)*100</f>
        <v>1.16415613879781</v>
      </c>
    </row>
    <row r="771" customFormat="false" ht="15" hidden="false" customHeight="false" outlineLevel="0" collapsed="false">
      <c r="A771" s="6" t="s">
        <v>770</v>
      </c>
      <c r="B771" s="7" t="n">
        <v>0.055131</v>
      </c>
      <c r="C771" s="7" t="n">
        <f aca="false">((1+B771/100)^21-1)*100</f>
        <v>1.16415613879781</v>
      </c>
    </row>
    <row r="772" customFormat="false" ht="15" hidden="false" customHeight="false" outlineLevel="0" collapsed="false">
      <c r="A772" s="6" t="s">
        <v>771</v>
      </c>
      <c r="B772" s="7" t="n">
        <v>0.055131</v>
      </c>
      <c r="C772" s="7" t="n">
        <f aca="false">((1+B772/100)^21-1)*100</f>
        <v>1.16415613879781</v>
      </c>
    </row>
    <row r="773" customFormat="false" ht="15" hidden="false" customHeight="false" outlineLevel="0" collapsed="false">
      <c r="A773" s="6" t="s">
        <v>772</v>
      </c>
      <c r="B773" s="7" t="n">
        <v>0.055131</v>
      </c>
      <c r="C773" s="7" t="n">
        <f aca="false">((1+B773/100)^21-1)*100</f>
        <v>1.16415613879781</v>
      </c>
    </row>
    <row r="774" customFormat="false" ht="15" hidden="false" customHeight="false" outlineLevel="0" collapsed="false">
      <c r="A774" s="6" t="s">
        <v>773</v>
      </c>
      <c r="B774" s="7" t="n">
        <v>0.055131</v>
      </c>
      <c r="C774" s="7" t="n">
        <f aca="false">((1+B774/100)^21-1)*100</f>
        <v>1.16415613879781</v>
      </c>
    </row>
    <row r="775" customFormat="false" ht="15" hidden="false" customHeight="false" outlineLevel="0" collapsed="false">
      <c r="A775" s="6" t="s">
        <v>774</v>
      </c>
      <c r="B775" s="7" t="n">
        <v>0.055131</v>
      </c>
      <c r="C775" s="7" t="n">
        <f aca="false">((1+B775/100)^21-1)*100</f>
        <v>1.16415613879781</v>
      </c>
    </row>
    <row r="776" customFormat="false" ht="15" hidden="false" customHeight="false" outlineLevel="0" collapsed="false">
      <c r="A776" s="6" t="s">
        <v>775</v>
      </c>
      <c r="B776" s="7" t="n">
        <v>0.055131</v>
      </c>
      <c r="C776" s="7" t="n">
        <f aca="false">((1+B776/100)^21-1)*100</f>
        <v>1.16415613879781</v>
      </c>
    </row>
    <row r="777" customFormat="false" ht="15" hidden="false" customHeight="false" outlineLevel="0" collapsed="false">
      <c r="A777" s="6" t="s">
        <v>776</v>
      </c>
      <c r="B777" s="7" t="n">
        <v>0.055131</v>
      </c>
      <c r="C777" s="7" t="n">
        <f aca="false">((1+B777/100)^21-1)*100</f>
        <v>1.16415613879781</v>
      </c>
    </row>
    <row r="778" customFormat="false" ht="15" hidden="false" customHeight="false" outlineLevel="0" collapsed="false">
      <c r="A778" s="6" t="s">
        <v>777</v>
      </c>
      <c r="B778" s="7" t="n">
        <v>0.055131</v>
      </c>
      <c r="C778" s="7" t="n">
        <f aca="false">((1+B778/100)^21-1)*100</f>
        <v>1.16415613879781</v>
      </c>
    </row>
    <row r="779" customFormat="false" ht="15" hidden="false" customHeight="false" outlineLevel="0" collapsed="false">
      <c r="A779" s="6" t="s">
        <v>778</v>
      </c>
      <c r="B779" s="7" t="n">
        <v>0.055131</v>
      </c>
      <c r="C779" s="7" t="n">
        <f aca="false">((1+B779/100)^21-1)*100</f>
        <v>1.16415613879781</v>
      </c>
    </row>
    <row r="780" customFormat="false" ht="15" hidden="false" customHeight="false" outlineLevel="0" collapsed="false">
      <c r="A780" s="6" t="s">
        <v>779</v>
      </c>
      <c r="B780" s="7" t="n">
        <v>0.055131</v>
      </c>
      <c r="C780" s="7" t="n">
        <f aca="false">((1+B780/100)^21-1)*100</f>
        <v>1.16415613879781</v>
      </c>
    </row>
    <row r="781" customFormat="false" ht="15" hidden="false" customHeight="false" outlineLevel="0" collapsed="false">
      <c r="A781" s="6" t="s">
        <v>780</v>
      </c>
      <c r="B781" s="7" t="n">
        <v>0.055131</v>
      </c>
      <c r="C781" s="7" t="n">
        <f aca="false">((1+B781/100)^21-1)*100</f>
        <v>1.16415613879781</v>
      </c>
    </row>
    <row r="782" customFormat="false" ht="15" hidden="false" customHeight="false" outlineLevel="0" collapsed="false">
      <c r="A782" s="6" t="s">
        <v>781</v>
      </c>
      <c r="B782" s="7" t="n">
        <v>0.055131</v>
      </c>
      <c r="C782" s="7" t="n">
        <f aca="false">((1+B782/100)^21-1)*100</f>
        <v>1.16415613879781</v>
      </c>
    </row>
    <row r="783" customFormat="false" ht="15" hidden="false" customHeight="false" outlineLevel="0" collapsed="false">
      <c r="A783" s="6" t="s">
        <v>782</v>
      </c>
      <c r="B783" s="7" t="n">
        <v>0.055131</v>
      </c>
      <c r="C783" s="7" t="n">
        <f aca="false">((1+B783/100)^21-1)*100</f>
        <v>1.16415613879781</v>
      </c>
    </row>
    <row r="784" customFormat="false" ht="15" hidden="false" customHeight="false" outlineLevel="0" collapsed="false">
      <c r="A784" s="6" t="s">
        <v>783</v>
      </c>
      <c r="B784" s="7" t="n">
        <v>0.055131</v>
      </c>
      <c r="C784" s="7" t="n">
        <f aca="false">((1+B784/100)^21-1)*100</f>
        <v>1.16415613879781</v>
      </c>
    </row>
    <row r="785" customFormat="false" ht="15" hidden="false" customHeight="false" outlineLevel="0" collapsed="false">
      <c r="A785" s="6" t="s">
        <v>784</v>
      </c>
      <c r="B785" s="7" t="n">
        <v>0.055131</v>
      </c>
      <c r="C785" s="7" t="n">
        <f aca="false">((1+B785/100)^21-1)*100</f>
        <v>1.16415613879781</v>
      </c>
    </row>
    <row r="786" customFormat="false" ht="15" hidden="false" customHeight="false" outlineLevel="0" collapsed="false">
      <c r="A786" s="6" t="s">
        <v>785</v>
      </c>
      <c r="B786" s="7" t="n">
        <v>0.055131</v>
      </c>
      <c r="C786" s="7" t="n">
        <f aca="false">((1+B786/100)^21-1)*100</f>
        <v>1.16415613879781</v>
      </c>
    </row>
    <row r="787" customFormat="false" ht="15" hidden="false" customHeight="false" outlineLevel="0" collapsed="false">
      <c r="A787" s="6" t="s">
        <v>786</v>
      </c>
      <c r="B787" s="7" t="n">
        <v>0.055131</v>
      </c>
      <c r="C787" s="7" t="n">
        <f aca="false">((1+B787/100)^21-1)*100</f>
        <v>1.16415613879781</v>
      </c>
    </row>
    <row r="788" customFormat="false" ht="15" hidden="false" customHeight="false" outlineLevel="0" collapsed="false">
      <c r="A788" s="6" t="s">
        <v>787</v>
      </c>
      <c r="B788" s="7" t="n">
        <v>0.055131</v>
      </c>
      <c r="C788" s="7" t="n">
        <f aca="false">((1+B788/100)^21-1)*100</f>
        <v>1.16415613879781</v>
      </c>
    </row>
    <row r="789" customFormat="false" ht="15" hidden="false" customHeight="false" outlineLevel="0" collapsed="false">
      <c r="A789" s="6" t="s">
        <v>788</v>
      </c>
      <c r="B789" s="7" t="n">
        <v>0.055131</v>
      </c>
      <c r="C789" s="7" t="n">
        <f aca="false">((1+B789/100)^21-1)*100</f>
        <v>1.16415613879781</v>
      </c>
    </row>
    <row r="790" customFormat="false" ht="15" hidden="false" customHeight="false" outlineLevel="0" collapsed="false">
      <c r="A790" s="6" t="s">
        <v>789</v>
      </c>
      <c r="B790" s="7" t="n">
        <v>0.055131</v>
      </c>
      <c r="C790" s="7" t="n">
        <f aca="false">((1+B790/100)^21-1)*100</f>
        <v>1.16415613879781</v>
      </c>
    </row>
    <row r="791" customFormat="false" ht="15" hidden="false" customHeight="false" outlineLevel="0" collapsed="false">
      <c r="A791" s="6" t="s">
        <v>790</v>
      </c>
      <c r="B791" s="7" t="n">
        <v>0.055131</v>
      </c>
      <c r="C791" s="7" t="n">
        <f aca="false">((1+B791/100)^21-1)*100</f>
        <v>1.16415613879781</v>
      </c>
    </row>
    <row r="792" customFormat="false" ht="15" hidden="false" customHeight="false" outlineLevel="0" collapsed="false">
      <c r="A792" s="6" t="s">
        <v>791</v>
      </c>
      <c r="B792" s="7" t="n">
        <v>0.055131</v>
      </c>
      <c r="C792" s="7" t="n">
        <f aca="false">((1+B792/100)^21-1)*100</f>
        <v>1.16415613879781</v>
      </c>
    </row>
    <row r="793" customFormat="false" ht="15" hidden="false" customHeight="false" outlineLevel="0" collapsed="false">
      <c r="A793" s="6" t="s">
        <v>792</v>
      </c>
      <c r="B793" s="7" t="n">
        <v>0.055131</v>
      </c>
      <c r="C793" s="7" t="n">
        <f aca="false">((1+B793/100)^21-1)*100</f>
        <v>1.16415613879781</v>
      </c>
    </row>
    <row r="794" customFormat="false" ht="15" hidden="false" customHeight="false" outlineLevel="0" collapsed="false">
      <c r="A794" s="6" t="s">
        <v>793</v>
      </c>
      <c r="B794" s="7" t="n">
        <v>0.055131</v>
      </c>
      <c r="C794" s="7" t="n">
        <f aca="false">((1+B794/100)^21-1)*100</f>
        <v>1.16415613879781</v>
      </c>
    </row>
    <row r="795" customFormat="false" ht="15" hidden="false" customHeight="false" outlineLevel="0" collapsed="false">
      <c r="A795" s="6" t="s">
        <v>794</v>
      </c>
      <c r="B795" s="7" t="n">
        <v>0.055131</v>
      </c>
      <c r="C795" s="7" t="n">
        <f aca="false">((1+B795/100)^21-1)*100</f>
        <v>1.16415613879781</v>
      </c>
    </row>
    <row r="796" customFormat="false" ht="15" hidden="false" customHeight="false" outlineLevel="0" collapsed="false">
      <c r="A796" s="6" t="s">
        <v>795</v>
      </c>
      <c r="B796" s="7" t="n">
        <v>0.055131</v>
      </c>
      <c r="C796" s="7" t="n">
        <f aca="false">((1+B796/100)^21-1)*100</f>
        <v>1.16415613879781</v>
      </c>
    </row>
    <row r="797" customFormat="false" ht="15" hidden="false" customHeight="false" outlineLevel="0" collapsed="false">
      <c r="A797" s="6" t="s">
        <v>796</v>
      </c>
      <c r="B797" s="7" t="n">
        <v>0.055131</v>
      </c>
      <c r="C797" s="7" t="n">
        <f aca="false">((1+B797/100)^21-1)*100</f>
        <v>1.16415613879781</v>
      </c>
    </row>
    <row r="798" customFormat="false" ht="15" hidden="false" customHeight="false" outlineLevel="0" collapsed="false">
      <c r="A798" s="6" t="s">
        <v>797</v>
      </c>
      <c r="B798" s="7" t="n">
        <v>0.055131</v>
      </c>
      <c r="C798" s="7" t="n">
        <f aca="false">((1+B798/100)^21-1)*100</f>
        <v>1.16415613879781</v>
      </c>
    </row>
    <row r="799" customFormat="false" ht="15" hidden="false" customHeight="false" outlineLevel="0" collapsed="false">
      <c r="A799" s="6" t="s">
        <v>798</v>
      </c>
      <c r="B799" s="7" t="n">
        <v>0.055131</v>
      </c>
      <c r="C799" s="7" t="n">
        <f aca="false">((1+B799/100)^21-1)*100</f>
        <v>1.16415613879781</v>
      </c>
    </row>
    <row r="800" customFormat="false" ht="15" hidden="false" customHeight="false" outlineLevel="0" collapsed="false">
      <c r="A800" s="6" t="s">
        <v>799</v>
      </c>
      <c r="B800" s="7" t="n">
        <v>0.055131</v>
      </c>
      <c r="C800" s="7" t="n">
        <f aca="false">((1+B800/100)^21-1)*100</f>
        <v>1.16415613879781</v>
      </c>
    </row>
    <row r="801" customFormat="false" ht="15" hidden="false" customHeight="false" outlineLevel="0" collapsed="false">
      <c r="A801" s="6" t="s">
        <v>800</v>
      </c>
      <c r="B801" s="7" t="n">
        <v>0.055131</v>
      </c>
      <c r="C801" s="7" t="n">
        <f aca="false">((1+B801/100)^21-1)*100</f>
        <v>1.16415613879781</v>
      </c>
    </row>
    <row r="802" customFormat="false" ht="15" hidden="false" customHeight="false" outlineLevel="0" collapsed="false">
      <c r="A802" s="6" t="s">
        <v>801</v>
      </c>
      <c r="B802" s="7" t="n">
        <v>0.055131</v>
      </c>
      <c r="C802" s="7" t="n">
        <f aca="false">((1+B802/100)^21-1)*100</f>
        <v>1.16415613879781</v>
      </c>
    </row>
    <row r="803" customFormat="false" ht="15" hidden="false" customHeight="false" outlineLevel="0" collapsed="false">
      <c r="A803" s="6" t="s">
        <v>802</v>
      </c>
      <c r="B803" s="7" t="n">
        <v>0.055131</v>
      </c>
      <c r="C803" s="7" t="n">
        <f aca="false">((1+B803/100)^21-1)*100</f>
        <v>1.16415613879781</v>
      </c>
    </row>
    <row r="804" customFormat="false" ht="15" hidden="false" customHeight="false" outlineLevel="0" collapsed="false">
      <c r="A804" s="6" t="s">
        <v>803</v>
      </c>
      <c r="B804" s="7" t="n">
        <v>0.055131</v>
      </c>
      <c r="C804" s="7" t="n">
        <f aca="false">((1+B804/100)^21-1)*100</f>
        <v>1.16415613879781</v>
      </c>
    </row>
    <row r="805" customFormat="false" ht="15" hidden="false" customHeight="false" outlineLevel="0" collapsed="false">
      <c r="A805" s="6" t="s">
        <v>804</v>
      </c>
      <c r="B805" s="7" t="n">
        <v>0.055131</v>
      </c>
      <c r="C805" s="7" t="n">
        <f aca="false">((1+B805/100)^21-1)*100</f>
        <v>1.16415613879781</v>
      </c>
    </row>
    <row r="806" customFormat="false" ht="15" hidden="false" customHeight="false" outlineLevel="0" collapsed="false">
      <c r="A806" s="6" t="s">
        <v>805</v>
      </c>
      <c r="B806" s="7" t="n">
        <v>0.055131</v>
      </c>
      <c r="C806" s="7" t="n">
        <f aca="false">((1+B806/100)^21-1)*100</f>
        <v>1.16415613879781</v>
      </c>
    </row>
    <row r="807" customFormat="false" ht="15" hidden="false" customHeight="false" outlineLevel="0" collapsed="false">
      <c r="A807" s="6" t="s">
        <v>806</v>
      </c>
      <c r="B807" s="7" t="n">
        <v>0.055131</v>
      </c>
      <c r="C807" s="7" t="n">
        <f aca="false">((1+B807/100)^21-1)*100</f>
        <v>1.16415613879781</v>
      </c>
    </row>
    <row r="808" customFormat="false" ht="15" hidden="false" customHeight="false" outlineLevel="0" collapsed="false">
      <c r="A808" s="6" t="s">
        <v>807</v>
      </c>
      <c r="B808" s="7" t="n">
        <v>0.055131</v>
      </c>
      <c r="C808" s="7" t="n">
        <f aca="false">((1+B808/100)^21-1)*100</f>
        <v>1.16415613879781</v>
      </c>
    </row>
    <row r="809" customFormat="false" ht="15" hidden="false" customHeight="false" outlineLevel="0" collapsed="false">
      <c r="A809" s="6" t="s">
        <v>808</v>
      </c>
      <c r="B809" s="7" t="n">
        <v>0.055131</v>
      </c>
      <c r="C809" s="7" t="n">
        <f aca="false">((1+B809/100)^21-1)*100</f>
        <v>1.16415613879781</v>
      </c>
    </row>
    <row r="810" customFormat="false" ht="15" hidden="false" customHeight="false" outlineLevel="0" collapsed="false">
      <c r="A810" s="6" t="s">
        <v>809</v>
      </c>
      <c r="B810" s="7" t="n">
        <v>0.055131</v>
      </c>
      <c r="C810" s="7" t="n">
        <f aca="false">((1+B810/100)^21-1)*100</f>
        <v>1.16415613879781</v>
      </c>
    </row>
    <row r="811" customFormat="false" ht="15" hidden="false" customHeight="false" outlineLevel="0" collapsed="false">
      <c r="A811" s="6" t="s">
        <v>810</v>
      </c>
      <c r="B811" s="7" t="n">
        <v>0.055131</v>
      </c>
      <c r="C811" s="7" t="n">
        <f aca="false">((1+B811/100)^21-1)*100</f>
        <v>1.16415613879781</v>
      </c>
    </row>
    <row r="812" customFormat="false" ht="15" hidden="false" customHeight="false" outlineLevel="0" collapsed="false">
      <c r="A812" s="6" t="s">
        <v>811</v>
      </c>
      <c r="B812" s="7" t="n">
        <v>0.055131</v>
      </c>
      <c r="C812" s="7" t="n">
        <f aca="false">((1+B812/100)^21-1)*100</f>
        <v>1.16415613879781</v>
      </c>
    </row>
    <row r="813" customFormat="false" ht="15" hidden="false" customHeight="false" outlineLevel="0" collapsed="false">
      <c r="A813" s="6" t="s">
        <v>812</v>
      </c>
      <c r="B813" s="7" t="n">
        <v>0.055131</v>
      </c>
      <c r="C813" s="7" t="n">
        <f aca="false">((1+B813/100)^21-1)*100</f>
        <v>1.16415613879781</v>
      </c>
    </row>
    <row r="814" customFormat="false" ht="15" hidden="false" customHeight="false" outlineLevel="0" collapsed="false">
      <c r="A814" s="6" t="s">
        <v>813</v>
      </c>
      <c r="B814" s="7" t="n">
        <v>0.054266</v>
      </c>
      <c r="C814" s="7" t="n">
        <f aca="false">((1+B814/100)^21-1)*100</f>
        <v>1.14579138311028</v>
      </c>
    </row>
    <row r="815" customFormat="false" ht="15" hidden="false" customHeight="false" outlineLevel="0" collapsed="false">
      <c r="A815" s="6" t="s">
        <v>814</v>
      </c>
      <c r="B815" s="7" t="n">
        <v>0.054266</v>
      </c>
      <c r="C815" s="7" t="n">
        <f aca="false">((1+B815/100)^21-1)*100</f>
        <v>1.14579138311028</v>
      </c>
    </row>
    <row r="816" customFormat="false" ht="15" hidden="false" customHeight="false" outlineLevel="0" collapsed="false">
      <c r="A816" s="6" t="s">
        <v>815</v>
      </c>
      <c r="B816" s="7" t="n">
        <v>0.054266</v>
      </c>
      <c r="C816" s="7" t="n">
        <f aca="false">((1+B816/100)^21-1)*100</f>
        <v>1.14579138311028</v>
      </c>
    </row>
    <row r="817" customFormat="false" ht="15" hidden="false" customHeight="false" outlineLevel="0" collapsed="false">
      <c r="A817" s="6" t="s">
        <v>816</v>
      </c>
      <c r="B817" s="7" t="n">
        <v>0.054266</v>
      </c>
      <c r="C817" s="7" t="n">
        <f aca="false">((1+B817/100)^21-1)*100</f>
        <v>1.14579138311028</v>
      </c>
    </row>
    <row r="818" customFormat="false" ht="15" hidden="false" customHeight="false" outlineLevel="0" collapsed="false">
      <c r="A818" s="6" t="s">
        <v>817</v>
      </c>
      <c r="B818" s="7" t="n">
        <v>0.054266</v>
      </c>
      <c r="C818" s="7" t="n">
        <f aca="false">((1+B818/100)^21-1)*100</f>
        <v>1.14579138311028</v>
      </c>
    </row>
    <row r="819" customFormat="false" ht="15" hidden="false" customHeight="false" outlineLevel="0" collapsed="false">
      <c r="A819" s="6" t="s">
        <v>818</v>
      </c>
      <c r="B819" s="7" t="n">
        <v>0.054266</v>
      </c>
      <c r="C819" s="7" t="n">
        <f aca="false">((1+B819/100)^21-1)*100</f>
        <v>1.14579138311028</v>
      </c>
    </row>
    <row r="820" customFormat="false" ht="15" hidden="false" customHeight="false" outlineLevel="0" collapsed="false">
      <c r="A820" s="6" t="s">
        <v>819</v>
      </c>
      <c r="B820" s="7" t="n">
        <v>0.054266</v>
      </c>
      <c r="C820" s="7" t="n">
        <f aca="false">((1+B820/100)^21-1)*100</f>
        <v>1.14579138311028</v>
      </c>
    </row>
    <row r="821" customFormat="false" ht="15" hidden="false" customHeight="false" outlineLevel="0" collapsed="false">
      <c r="A821" s="6" t="s">
        <v>820</v>
      </c>
      <c r="B821" s="7" t="n">
        <v>0.054266</v>
      </c>
      <c r="C821" s="7" t="n">
        <f aca="false">((1+B821/100)^21-1)*100</f>
        <v>1.14579138311028</v>
      </c>
    </row>
    <row r="822" customFormat="false" ht="15" hidden="false" customHeight="false" outlineLevel="0" collapsed="false">
      <c r="A822" s="6" t="s">
        <v>821</v>
      </c>
      <c r="B822" s="7" t="n">
        <v>0.054266</v>
      </c>
      <c r="C822" s="7" t="n">
        <f aca="false">((1+B822/100)^21-1)*100</f>
        <v>1.14579138311028</v>
      </c>
    </row>
    <row r="823" customFormat="false" ht="15" hidden="false" customHeight="false" outlineLevel="0" collapsed="false">
      <c r="A823" s="6" t="s">
        <v>822</v>
      </c>
      <c r="B823" s="7" t="n">
        <v>0.054266</v>
      </c>
      <c r="C823" s="7" t="n">
        <f aca="false">((1+B823/100)^21-1)*100</f>
        <v>1.14579138311028</v>
      </c>
    </row>
    <row r="824" customFormat="false" ht="15" hidden="false" customHeight="false" outlineLevel="0" collapsed="false">
      <c r="A824" s="6" t="s">
        <v>823</v>
      </c>
      <c r="B824" s="7" t="n">
        <v>0.054266</v>
      </c>
      <c r="C824" s="7" t="n">
        <f aca="false">((1+B824/100)^21-1)*100</f>
        <v>1.14579138311028</v>
      </c>
    </row>
    <row r="825" customFormat="false" ht="15" hidden="false" customHeight="false" outlineLevel="0" collapsed="false">
      <c r="A825" s="6" t="s">
        <v>824</v>
      </c>
      <c r="B825" s="7" t="n">
        <v>0.054266</v>
      </c>
      <c r="C825" s="7" t="n">
        <f aca="false">((1+B825/100)^21-1)*100</f>
        <v>1.14579138311028</v>
      </c>
    </row>
    <row r="826" customFormat="false" ht="15" hidden="false" customHeight="false" outlineLevel="0" collapsed="false">
      <c r="A826" s="6" t="s">
        <v>825</v>
      </c>
      <c r="B826" s="7" t="n">
        <v>0.054266</v>
      </c>
      <c r="C826" s="7" t="n">
        <f aca="false">((1+B826/100)^21-1)*100</f>
        <v>1.14579138311028</v>
      </c>
    </row>
    <row r="827" customFormat="false" ht="15" hidden="false" customHeight="false" outlineLevel="0" collapsed="false">
      <c r="A827" s="6" t="s">
        <v>826</v>
      </c>
      <c r="B827" s="7" t="n">
        <v>0.054266</v>
      </c>
      <c r="C827" s="7" t="n">
        <f aca="false">((1+B827/100)^21-1)*100</f>
        <v>1.14579138311028</v>
      </c>
    </row>
    <row r="828" customFormat="false" ht="15" hidden="false" customHeight="false" outlineLevel="0" collapsed="false">
      <c r="A828" s="6" t="s">
        <v>827</v>
      </c>
      <c r="B828" s="7" t="n">
        <v>0.054266</v>
      </c>
      <c r="C828" s="7" t="n">
        <f aca="false">((1+B828/100)^21-1)*100</f>
        <v>1.14579138311028</v>
      </c>
    </row>
    <row r="829" customFormat="false" ht="15" hidden="false" customHeight="false" outlineLevel="0" collapsed="false">
      <c r="A829" s="6" t="s">
        <v>828</v>
      </c>
      <c r="B829" s="7" t="n">
        <v>0.054266</v>
      </c>
      <c r="C829" s="7" t="n">
        <f aca="false">((1+B829/100)^21-1)*100</f>
        <v>1.14579138311028</v>
      </c>
    </row>
    <row r="830" customFormat="false" ht="15" hidden="false" customHeight="false" outlineLevel="0" collapsed="false">
      <c r="A830" s="6" t="s">
        <v>829</v>
      </c>
      <c r="B830" s="7" t="n">
        <v>0.054266</v>
      </c>
      <c r="C830" s="7" t="n">
        <f aca="false">((1+B830/100)^21-1)*100</f>
        <v>1.14579138311028</v>
      </c>
    </row>
    <row r="831" customFormat="false" ht="15" hidden="false" customHeight="false" outlineLevel="0" collapsed="false">
      <c r="A831" s="6" t="s">
        <v>830</v>
      </c>
      <c r="B831" s="7" t="n">
        <v>0.054266</v>
      </c>
      <c r="C831" s="7" t="n">
        <f aca="false">((1+B831/100)^21-1)*100</f>
        <v>1.14579138311028</v>
      </c>
    </row>
    <row r="832" customFormat="false" ht="15" hidden="false" customHeight="false" outlineLevel="0" collapsed="false">
      <c r="A832" s="6" t="s">
        <v>831</v>
      </c>
      <c r="B832" s="7" t="n">
        <v>0.054266</v>
      </c>
      <c r="C832" s="7" t="n">
        <f aca="false">((1+B832/100)^21-1)*100</f>
        <v>1.14579138311028</v>
      </c>
    </row>
    <row r="833" customFormat="false" ht="15" hidden="false" customHeight="false" outlineLevel="0" collapsed="false">
      <c r="A833" s="6" t="s">
        <v>832</v>
      </c>
      <c r="B833" s="7" t="n">
        <v>0.054266</v>
      </c>
      <c r="C833" s="7" t="n">
        <f aca="false">((1+B833/100)^21-1)*100</f>
        <v>1.14579138311028</v>
      </c>
    </row>
    <row r="834" customFormat="false" ht="15" hidden="false" customHeight="false" outlineLevel="0" collapsed="false">
      <c r="A834" s="6" t="s">
        <v>833</v>
      </c>
      <c r="B834" s="7" t="n">
        <v>0.054266</v>
      </c>
      <c r="C834" s="7" t="n">
        <f aca="false">((1+B834/100)^21-1)*100</f>
        <v>1.14579138311028</v>
      </c>
    </row>
    <row r="835" customFormat="false" ht="15" hidden="false" customHeight="false" outlineLevel="0" collapsed="false">
      <c r="A835" s="6" t="s">
        <v>834</v>
      </c>
      <c r="B835" s="7" t="n">
        <v>0.054266</v>
      </c>
      <c r="C835" s="7" t="n">
        <f aca="false">((1+B835/100)^21-1)*100</f>
        <v>1.14579138311028</v>
      </c>
    </row>
    <row r="836" customFormat="false" ht="15" hidden="false" customHeight="false" outlineLevel="0" collapsed="false">
      <c r="A836" s="6" t="s">
        <v>835</v>
      </c>
      <c r="B836" s="7" t="n">
        <v>0.054266</v>
      </c>
      <c r="C836" s="7" t="n">
        <f aca="false">((1+B836/100)^21-1)*100</f>
        <v>1.14579138311028</v>
      </c>
    </row>
    <row r="837" customFormat="false" ht="15" hidden="false" customHeight="false" outlineLevel="0" collapsed="false">
      <c r="A837" s="6" t="s">
        <v>836</v>
      </c>
      <c r="B837" s="7" t="n">
        <v>0.054266</v>
      </c>
      <c r="C837" s="7" t="n">
        <f aca="false">((1+B837/100)^21-1)*100</f>
        <v>1.14579138311028</v>
      </c>
    </row>
    <row r="838" customFormat="false" ht="15" hidden="false" customHeight="false" outlineLevel="0" collapsed="false">
      <c r="A838" s="6" t="s">
        <v>837</v>
      </c>
      <c r="B838" s="7" t="n">
        <v>0.054266</v>
      </c>
      <c r="C838" s="7" t="n">
        <f aca="false">((1+B838/100)^21-1)*100</f>
        <v>1.14579138311028</v>
      </c>
    </row>
    <row r="839" customFormat="false" ht="15" hidden="false" customHeight="false" outlineLevel="0" collapsed="false">
      <c r="A839" s="6" t="s">
        <v>838</v>
      </c>
      <c r="B839" s="7" t="n">
        <v>0.054266</v>
      </c>
      <c r="C839" s="7" t="n">
        <f aca="false">((1+B839/100)^21-1)*100</f>
        <v>1.14579138311028</v>
      </c>
    </row>
    <row r="840" customFormat="false" ht="15" hidden="false" customHeight="false" outlineLevel="0" collapsed="false">
      <c r="A840" s="6" t="s">
        <v>839</v>
      </c>
      <c r="B840" s="7" t="n">
        <v>0.054266</v>
      </c>
      <c r="C840" s="7" t="n">
        <f aca="false">((1+B840/100)^21-1)*100</f>
        <v>1.14579138311028</v>
      </c>
    </row>
    <row r="841" customFormat="false" ht="15" hidden="false" customHeight="false" outlineLevel="0" collapsed="false">
      <c r="A841" s="6" t="s">
        <v>840</v>
      </c>
      <c r="B841" s="7" t="n">
        <v>0.054266</v>
      </c>
      <c r="C841" s="7" t="n">
        <f aca="false">((1+B841/100)^21-1)*100</f>
        <v>1.14579138311028</v>
      </c>
    </row>
    <row r="842" customFormat="false" ht="15" hidden="false" customHeight="false" outlineLevel="0" collapsed="false">
      <c r="A842" s="6" t="s">
        <v>841</v>
      </c>
      <c r="B842" s="7" t="n">
        <v>0.0534</v>
      </c>
      <c r="C842" s="7" t="n">
        <f aca="false">((1+B842/100)^21-1)*100</f>
        <v>1.12740857710438</v>
      </c>
    </row>
    <row r="843" customFormat="false" ht="15" hidden="false" customHeight="false" outlineLevel="0" collapsed="false">
      <c r="A843" s="6" t="s">
        <v>842</v>
      </c>
      <c r="B843" s="7" t="n">
        <v>0.0534</v>
      </c>
      <c r="C843" s="7" t="n">
        <f aca="false">((1+B843/100)^21-1)*100</f>
        <v>1.12740857710438</v>
      </c>
    </row>
    <row r="844" customFormat="false" ht="15" hidden="false" customHeight="false" outlineLevel="0" collapsed="false">
      <c r="A844" s="6" t="s">
        <v>843</v>
      </c>
      <c r="B844" s="7" t="n">
        <v>0.0534</v>
      </c>
      <c r="C844" s="7" t="n">
        <f aca="false">((1+B844/100)^21-1)*100</f>
        <v>1.12740857710438</v>
      </c>
    </row>
    <row r="845" customFormat="false" ht="15" hidden="false" customHeight="false" outlineLevel="0" collapsed="false">
      <c r="A845" s="6" t="s">
        <v>844</v>
      </c>
      <c r="B845" s="7" t="n">
        <v>0.0534</v>
      </c>
      <c r="C845" s="7" t="n">
        <f aca="false">((1+B845/100)^21-1)*100</f>
        <v>1.12740857710438</v>
      </c>
    </row>
    <row r="846" customFormat="false" ht="15" hidden="false" customHeight="false" outlineLevel="0" collapsed="false">
      <c r="A846" s="6" t="s">
        <v>845</v>
      </c>
      <c r="B846" s="7" t="n">
        <v>0.0534</v>
      </c>
      <c r="C846" s="7" t="n">
        <f aca="false">((1+B846/100)^21-1)*100</f>
        <v>1.12740857710438</v>
      </c>
    </row>
    <row r="847" customFormat="false" ht="15" hidden="false" customHeight="false" outlineLevel="0" collapsed="false">
      <c r="A847" s="6" t="s">
        <v>846</v>
      </c>
      <c r="B847" s="7" t="n">
        <v>0.0534</v>
      </c>
      <c r="C847" s="7" t="n">
        <f aca="false">((1+B847/100)^21-1)*100</f>
        <v>1.12740857710438</v>
      </c>
    </row>
    <row r="848" customFormat="false" ht="15" hidden="false" customHeight="false" outlineLevel="0" collapsed="false">
      <c r="A848" s="6" t="s">
        <v>847</v>
      </c>
      <c r="B848" s="7" t="n">
        <v>0.0534</v>
      </c>
      <c r="C848" s="7" t="n">
        <f aca="false">((1+B848/100)^21-1)*100</f>
        <v>1.12740857710438</v>
      </c>
    </row>
    <row r="849" customFormat="false" ht="15" hidden="false" customHeight="false" outlineLevel="0" collapsed="false">
      <c r="A849" s="6" t="s">
        <v>848</v>
      </c>
      <c r="B849" s="7" t="n">
        <v>0.0534</v>
      </c>
      <c r="C849" s="7" t="n">
        <f aca="false">((1+B849/100)^21-1)*100</f>
        <v>1.12740857710438</v>
      </c>
    </row>
    <row r="850" customFormat="false" ht="15" hidden="false" customHeight="false" outlineLevel="0" collapsed="false">
      <c r="A850" s="6" t="s">
        <v>849</v>
      </c>
      <c r="B850" s="7" t="n">
        <v>0.0534</v>
      </c>
      <c r="C850" s="7" t="n">
        <f aca="false">((1+B850/100)^21-1)*100</f>
        <v>1.12740857710438</v>
      </c>
    </row>
    <row r="851" customFormat="false" ht="15" hidden="false" customHeight="false" outlineLevel="0" collapsed="false">
      <c r="A851" s="6" t="s">
        <v>850</v>
      </c>
      <c r="B851" s="7" t="n">
        <v>0.0534</v>
      </c>
      <c r="C851" s="7" t="n">
        <f aca="false">((1+B851/100)^21-1)*100</f>
        <v>1.12740857710438</v>
      </c>
    </row>
    <row r="852" customFormat="false" ht="15" hidden="false" customHeight="false" outlineLevel="0" collapsed="false">
      <c r="A852" s="6" t="s">
        <v>851</v>
      </c>
      <c r="B852" s="7" t="n">
        <v>0.0534</v>
      </c>
      <c r="C852" s="7" t="n">
        <f aca="false">((1+B852/100)^21-1)*100</f>
        <v>1.12740857710438</v>
      </c>
    </row>
    <row r="853" customFormat="false" ht="15" hidden="false" customHeight="false" outlineLevel="0" collapsed="false">
      <c r="A853" s="6" t="s">
        <v>852</v>
      </c>
      <c r="B853" s="7" t="n">
        <v>0.0534</v>
      </c>
      <c r="C853" s="7" t="n">
        <f aca="false">((1+B853/100)^21-1)*100</f>
        <v>1.12740857710438</v>
      </c>
    </row>
    <row r="854" customFormat="false" ht="15" hidden="false" customHeight="false" outlineLevel="0" collapsed="false">
      <c r="A854" s="6" t="s">
        <v>853</v>
      </c>
      <c r="B854" s="7" t="n">
        <v>0.0534</v>
      </c>
      <c r="C854" s="7" t="n">
        <f aca="false">((1+B854/100)^21-1)*100</f>
        <v>1.12740857710438</v>
      </c>
    </row>
    <row r="855" customFormat="false" ht="15" hidden="false" customHeight="false" outlineLevel="0" collapsed="false">
      <c r="A855" s="6" t="s">
        <v>854</v>
      </c>
      <c r="B855" s="7" t="n">
        <v>0.0534</v>
      </c>
      <c r="C855" s="7" t="n">
        <f aca="false">((1+B855/100)^21-1)*100</f>
        <v>1.12740857710438</v>
      </c>
    </row>
    <row r="856" customFormat="false" ht="15" hidden="false" customHeight="false" outlineLevel="0" collapsed="false">
      <c r="A856" s="6" t="s">
        <v>855</v>
      </c>
      <c r="B856" s="7" t="n">
        <v>0.0534</v>
      </c>
      <c r="C856" s="7" t="n">
        <f aca="false">((1+B856/100)^21-1)*100</f>
        <v>1.12740857710438</v>
      </c>
    </row>
    <row r="857" customFormat="false" ht="15" hidden="false" customHeight="false" outlineLevel="0" collapsed="false">
      <c r="A857" s="6" t="s">
        <v>856</v>
      </c>
      <c r="B857" s="7" t="n">
        <v>0.0534</v>
      </c>
      <c r="C857" s="7" t="n">
        <f aca="false">((1+B857/100)^21-1)*100</f>
        <v>1.12740857710438</v>
      </c>
    </row>
    <row r="858" customFormat="false" ht="15" hidden="false" customHeight="false" outlineLevel="0" collapsed="false">
      <c r="A858" s="6" t="s">
        <v>857</v>
      </c>
      <c r="B858" s="7" t="n">
        <v>0.0534</v>
      </c>
      <c r="C858" s="7" t="n">
        <f aca="false">((1+B858/100)^21-1)*100</f>
        <v>1.12740857710438</v>
      </c>
    </row>
    <row r="859" customFormat="false" ht="15" hidden="false" customHeight="false" outlineLevel="0" collapsed="false">
      <c r="A859" s="6" t="s">
        <v>858</v>
      </c>
      <c r="B859" s="7" t="n">
        <v>0.0534</v>
      </c>
      <c r="C859" s="7" t="n">
        <f aca="false">((1+B859/100)^21-1)*100</f>
        <v>1.12740857710438</v>
      </c>
    </row>
    <row r="860" customFormat="false" ht="15" hidden="false" customHeight="false" outlineLevel="0" collapsed="false">
      <c r="A860" s="6" t="s">
        <v>859</v>
      </c>
      <c r="B860" s="7" t="n">
        <v>0.0534</v>
      </c>
      <c r="C860" s="7" t="n">
        <f aca="false">((1+B860/100)^21-1)*100</f>
        <v>1.12740857710438</v>
      </c>
    </row>
    <row r="861" customFormat="false" ht="15" hidden="false" customHeight="false" outlineLevel="0" collapsed="false">
      <c r="A861" s="6" t="s">
        <v>860</v>
      </c>
      <c r="B861" s="7" t="n">
        <v>0.0534</v>
      </c>
      <c r="C861" s="7" t="n">
        <f aca="false">((1+B861/100)^21-1)*100</f>
        <v>1.12740857710438</v>
      </c>
    </row>
    <row r="862" customFormat="false" ht="15" hidden="false" customHeight="false" outlineLevel="0" collapsed="false">
      <c r="A862" s="6" t="s">
        <v>861</v>
      </c>
      <c r="B862" s="7" t="n">
        <v>0.0534</v>
      </c>
      <c r="C862" s="7" t="n">
        <f aca="false">((1+B862/100)^21-1)*100</f>
        <v>1.12740857710438</v>
      </c>
    </row>
    <row r="863" customFormat="false" ht="15" hidden="false" customHeight="false" outlineLevel="0" collapsed="false">
      <c r="A863" s="6" t="s">
        <v>862</v>
      </c>
      <c r="B863" s="7" t="n">
        <v>0.0534</v>
      </c>
      <c r="C863" s="7" t="n">
        <f aca="false">((1+B863/100)^21-1)*100</f>
        <v>1.12740857710438</v>
      </c>
    </row>
    <row r="864" customFormat="false" ht="15" hidden="false" customHeight="false" outlineLevel="0" collapsed="false">
      <c r="A864" s="6" t="s">
        <v>863</v>
      </c>
      <c r="B864" s="7" t="n">
        <v>0.0534</v>
      </c>
      <c r="C864" s="7" t="n">
        <f aca="false">((1+B864/100)^21-1)*100</f>
        <v>1.12740857710438</v>
      </c>
    </row>
    <row r="865" customFormat="false" ht="15" hidden="false" customHeight="false" outlineLevel="0" collapsed="false">
      <c r="A865" s="6" t="s">
        <v>864</v>
      </c>
      <c r="B865" s="7" t="n">
        <v>0.0534</v>
      </c>
      <c r="C865" s="7" t="n">
        <f aca="false">((1+B865/100)^21-1)*100</f>
        <v>1.12740857710438</v>
      </c>
    </row>
    <row r="866" customFormat="false" ht="15" hidden="false" customHeight="false" outlineLevel="0" collapsed="false">
      <c r="A866" s="6" t="s">
        <v>865</v>
      </c>
      <c r="B866" s="7" t="n">
        <v>0.0534</v>
      </c>
      <c r="C866" s="7" t="n">
        <f aca="false">((1+B866/100)^21-1)*100</f>
        <v>1.12740857710438</v>
      </c>
    </row>
    <row r="867" customFormat="false" ht="15" hidden="false" customHeight="false" outlineLevel="0" collapsed="false">
      <c r="A867" s="6" t="s">
        <v>866</v>
      </c>
      <c r="B867" s="7" t="n">
        <v>0.0534</v>
      </c>
      <c r="C867" s="7" t="n">
        <f aca="false">((1+B867/100)^21-1)*100</f>
        <v>1.12740857710438</v>
      </c>
    </row>
    <row r="868" customFormat="false" ht="15" hidden="false" customHeight="false" outlineLevel="0" collapsed="false">
      <c r="A868" s="6" t="s">
        <v>867</v>
      </c>
      <c r="B868" s="7" t="n">
        <v>0.0534</v>
      </c>
      <c r="C868" s="7" t="n">
        <f aca="false">((1+B868/100)^21-1)*100</f>
        <v>1.12740857710438</v>
      </c>
    </row>
    <row r="869" customFormat="false" ht="15" hidden="false" customHeight="false" outlineLevel="0" collapsed="false">
      <c r="A869" s="6" t="s">
        <v>868</v>
      </c>
      <c r="B869" s="7" t="n">
        <v>0.0534</v>
      </c>
      <c r="C869" s="7" t="n">
        <f aca="false">((1+B869/100)^21-1)*100</f>
        <v>1.12740857710438</v>
      </c>
    </row>
    <row r="870" customFormat="false" ht="15" hidden="false" customHeight="false" outlineLevel="0" collapsed="false">
      <c r="A870" s="6" t="s">
        <v>869</v>
      </c>
      <c r="B870" s="7" t="n">
        <v>0.0534</v>
      </c>
      <c r="C870" s="7" t="n">
        <f aca="false">((1+B870/100)^21-1)*100</f>
        <v>1.12740857710438</v>
      </c>
    </row>
    <row r="871" customFormat="false" ht="15" hidden="false" customHeight="false" outlineLevel="0" collapsed="false">
      <c r="A871" s="6" t="s">
        <v>870</v>
      </c>
      <c r="B871" s="7" t="n">
        <v>0.0534</v>
      </c>
      <c r="C871" s="7" t="n">
        <f aca="false">((1+B871/100)^21-1)*100</f>
        <v>1.12740857710438</v>
      </c>
    </row>
    <row r="872" customFormat="false" ht="15" hidden="false" customHeight="false" outlineLevel="0" collapsed="false">
      <c r="A872" s="6" t="s">
        <v>871</v>
      </c>
      <c r="B872" s="7" t="n">
        <v>0.0534</v>
      </c>
      <c r="C872" s="7" t="n">
        <f aca="false">((1+B872/100)^21-1)*100</f>
        <v>1.12740857710438</v>
      </c>
    </row>
    <row r="873" customFormat="false" ht="15" hidden="false" customHeight="false" outlineLevel="0" collapsed="false">
      <c r="A873" s="6" t="s">
        <v>872</v>
      </c>
      <c r="B873" s="7" t="n">
        <v>0.0534</v>
      </c>
      <c r="C873" s="7" t="n">
        <f aca="false">((1+B873/100)^21-1)*100</f>
        <v>1.12740857710438</v>
      </c>
    </row>
    <row r="874" customFormat="false" ht="15" hidden="false" customHeight="false" outlineLevel="0" collapsed="false">
      <c r="A874" s="6" t="s">
        <v>873</v>
      </c>
      <c r="B874" s="7" t="n">
        <v>0.0534</v>
      </c>
      <c r="C874" s="7" t="n">
        <f aca="false">((1+B874/100)^21-1)*100</f>
        <v>1.12740857710438</v>
      </c>
    </row>
    <row r="875" customFormat="false" ht="15" hidden="false" customHeight="false" outlineLevel="0" collapsed="false">
      <c r="A875" s="6" t="s">
        <v>874</v>
      </c>
      <c r="B875" s="7" t="n">
        <v>0.052531</v>
      </c>
      <c r="C875" s="7" t="n">
        <f aca="false">((1+B875/100)^21-1)*100</f>
        <v>1.10896528780244</v>
      </c>
    </row>
    <row r="876" customFormat="false" ht="15" hidden="false" customHeight="false" outlineLevel="0" collapsed="false">
      <c r="A876" s="6" t="s">
        <v>875</v>
      </c>
      <c r="B876" s="7" t="n">
        <v>0.052531</v>
      </c>
      <c r="C876" s="7" t="n">
        <f aca="false">((1+B876/100)^21-1)*100</f>
        <v>1.10896528780244</v>
      </c>
    </row>
    <row r="877" customFormat="false" ht="15" hidden="false" customHeight="false" outlineLevel="0" collapsed="false">
      <c r="A877" s="6" t="s">
        <v>876</v>
      </c>
      <c r="B877" s="7" t="n">
        <v>0.052531</v>
      </c>
      <c r="C877" s="7" t="n">
        <f aca="false">((1+B877/100)^21-1)*100</f>
        <v>1.10896528780244</v>
      </c>
    </row>
    <row r="878" customFormat="false" ht="15" hidden="false" customHeight="false" outlineLevel="0" collapsed="false">
      <c r="A878" s="6" t="s">
        <v>877</v>
      </c>
      <c r="B878" s="7" t="n">
        <v>0.052531</v>
      </c>
      <c r="C878" s="7" t="n">
        <f aca="false">((1+B878/100)^21-1)*100</f>
        <v>1.10896528780244</v>
      </c>
    </row>
    <row r="879" customFormat="false" ht="15" hidden="false" customHeight="false" outlineLevel="0" collapsed="false">
      <c r="A879" s="6" t="s">
        <v>878</v>
      </c>
      <c r="B879" s="7" t="n">
        <v>0.052531</v>
      </c>
      <c r="C879" s="7" t="n">
        <f aca="false">((1+B879/100)^21-1)*100</f>
        <v>1.10896528780244</v>
      </c>
    </row>
    <row r="880" customFormat="false" ht="15" hidden="false" customHeight="false" outlineLevel="0" collapsed="false">
      <c r="A880" s="6" t="s">
        <v>879</v>
      </c>
      <c r="B880" s="7" t="n">
        <v>0.052531</v>
      </c>
      <c r="C880" s="7" t="n">
        <f aca="false">((1+B880/100)^21-1)*100</f>
        <v>1.10896528780244</v>
      </c>
    </row>
    <row r="881" customFormat="false" ht="15" hidden="false" customHeight="false" outlineLevel="0" collapsed="false">
      <c r="A881" s="6" t="s">
        <v>880</v>
      </c>
      <c r="B881" s="7" t="n">
        <v>0.052531</v>
      </c>
      <c r="C881" s="7" t="n">
        <f aca="false">((1+B881/100)^21-1)*100</f>
        <v>1.10896528780244</v>
      </c>
    </row>
    <row r="882" customFormat="false" ht="15" hidden="false" customHeight="false" outlineLevel="0" collapsed="false">
      <c r="A882" s="6" t="s">
        <v>881</v>
      </c>
      <c r="B882" s="7" t="n">
        <v>0.052531</v>
      </c>
      <c r="C882" s="7" t="n">
        <f aca="false">((1+B882/100)^21-1)*100</f>
        <v>1.10896528780244</v>
      </c>
    </row>
    <row r="883" customFormat="false" ht="15" hidden="false" customHeight="false" outlineLevel="0" collapsed="false">
      <c r="A883" s="6" t="s">
        <v>882</v>
      </c>
      <c r="B883" s="7" t="n">
        <v>0.052531</v>
      </c>
      <c r="C883" s="7" t="n">
        <f aca="false">((1+B883/100)^21-1)*100</f>
        <v>1.10896528780244</v>
      </c>
    </row>
    <row r="884" customFormat="false" ht="15" hidden="false" customHeight="false" outlineLevel="0" collapsed="false">
      <c r="A884" s="6" t="s">
        <v>883</v>
      </c>
      <c r="B884" s="7" t="n">
        <v>0.052531</v>
      </c>
      <c r="C884" s="7" t="n">
        <f aca="false">((1+B884/100)^21-1)*100</f>
        <v>1.10896528780244</v>
      </c>
    </row>
    <row r="885" customFormat="false" ht="15" hidden="false" customHeight="false" outlineLevel="0" collapsed="false">
      <c r="A885" s="6" t="s">
        <v>884</v>
      </c>
      <c r="B885" s="7" t="n">
        <v>0.052531</v>
      </c>
      <c r="C885" s="7" t="n">
        <f aca="false">((1+B885/100)^21-1)*100</f>
        <v>1.10896528780244</v>
      </c>
    </row>
    <row r="886" customFormat="false" ht="15" hidden="false" customHeight="false" outlineLevel="0" collapsed="false">
      <c r="A886" s="6" t="s">
        <v>885</v>
      </c>
      <c r="B886" s="7" t="n">
        <v>0.052531</v>
      </c>
      <c r="C886" s="7" t="n">
        <f aca="false">((1+B886/100)^21-1)*100</f>
        <v>1.10896528780244</v>
      </c>
    </row>
    <row r="887" customFormat="false" ht="15" hidden="false" customHeight="false" outlineLevel="0" collapsed="false">
      <c r="A887" s="6" t="s">
        <v>886</v>
      </c>
      <c r="B887" s="7" t="n">
        <v>0.052531</v>
      </c>
      <c r="C887" s="7" t="n">
        <f aca="false">((1+B887/100)^21-1)*100</f>
        <v>1.10896528780244</v>
      </c>
    </row>
    <row r="888" customFormat="false" ht="15" hidden="false" customHeight="false" outlineLevel="0" collapsed="false">
      <c r="A888" s="6" t="s">
        <v>887</v>
      </c>
      <c r="B888" s="7" t="n">
        <v>0.052531</v>
      </c>
      <c r="C888" s="7" t="n">
        <f aca="false">((1+B888/100)^21-1)*100</f>
        <v>1.10896528780244</v>
      </c>
    </row>
    <row r="889" customFormat="false" ht="15" hidden="false" customHeight="false" outlineLevel="0" collapsed="false">
      <c r="A889" s="6" t="s">
        <v>888</v>
      </c>
      <c r="B889" s="7" t="n">
        <v>0.052531</v>
      </c>
      <c r="C889" s="7" t="n">
        <f aca="false">((1+B889/100)^21-1)*100</f>
        <v>1.10896528780244</v>
      </c>
    </row>
    <row r="890" customFormat="false" ht="15" hidden="false" customHeight="false" outlineLevel="0" collapsed="false">
      <c r="A890" s="6" t="s">
        <v>889</v>
      </c>
      <c r="B890" s="7" t="n">
        <v>0.052531</v>
      </c>
      <c r="C890" s="7" t="n">
        <f aca="false">((1+B890/100)^21-1)*100</f>
        <v>1.10896528780244</v>
      </c>
    </row>
    <row r="891" customFormat="false" ht="15" hidden="false" customHeight="false" outlineLevel="0" collapsed="false">
      <c r="A891" s="6" t="s">
        <v>890</v>
      </c>
      <c r="B891" s="7" t="n">
        <v>0.052531</v>
      </c>
      <c r="C891" s="7" t="n">
        <f aca="false">((1+B891/100)^21-1)*100</f>
        <v>1.10896528780244</v>
      </c>
    </row>
    <row r="892" customFormat="false" ht="15" hidden="false" customHeight="false" outlineLevel="0" collapsed="false">
      <c r="A892" s="6" t="s">
        <v>891</v>
      </c>
      <c r="B892" s="7" t="n">
        <v>0.052531</v>
      </c>
      <c r="C892" s="7" t="n">
        <f aca="false">((1+B892/100)^21-1)*100</f>
        <v>1.10896528780244</v>
      </c>
    </row>
    <row r="893" customFormat="false" ht="15" hidden="false" customHeight="false" outlineLevel="0" collapsed="false">
      <c r="A893" s="6" t="s">
        <v>892</v>
      </c>
      <c r="B893" s="7" t="n">
        <v>0.052531</v>
      </c>
      <c r="C893" s="7" t="n">
        <f aca="false">((1+B893/100)^21-1)*100</f>
        <v>1.10896528780244</v>
      </c>
    </row>
    <row r="894" customFormat="false" ht="15" hidden="false" customHeight="false" outlineLevel="0" collapsed="false">
      <c r="A894" s="6" t="s">
        <v>893</v>
      </c>
      <c r="B894" s="7" t="n">
        <v>0.052531</v>
      </c>
      <c r="C894" s="7" t="n">
        <f aca="false">((1+B894/100)^21-1)*100</f>
        <v>1.10896528780244</v>
      </c>
    </row>
    <row r="895" customFormat="false" ht="15" hidden="false" customHeight="false" outlineLevel="0" collapsed="false">
      <c r="A895" s="6" t="s">
        <v>894</v>
      </c>
      <c r="B895" s="7" t="n">
        <v>0.052531</v>
      </c>
      <c r="C895" s="7" t="n">
        <f aca="false">((1+B895/100)^21-1)*100</f>
        <v>1.10896528780244</v>
      </c>
    </row>
    <row r="896" customFormat="false" ht="15" hidden="false" customHeight="false" outlineLevel="0" collapsed="false">
      <c r="A896" s="6" t="s">
        <v>895</v>
      </c>
      <c r="B896" s="7" t="n">
        <v>0.052531</v>
      </c>
      <c r="C896" s="7" t="n">
        <f aca="false">((1+B896/100)^21-1)*100</f>
        <v>1.10896528780244</v>
      </c>
    </row>
    <row r="897" customFormat="false" ht="15" hidden="false" customHeight="false" outlineLevel="0" collapsed="false">
      <c r="A897" s="6" t="s">
        <v>896</v>
      </c>
      <c r="B897" s="7" t="n">
        <v>0.052531</v>
      </c>
      <c r="C897" s="7" t="n">
        <f aca="false">((1+B897/100)^21-1)*100</f>
        <v>1.10896528780244</v>
      </c>
    </row>
    <row r="898" customFormat="false" ht="15" hidden="false" customHeight="false" outlineLevel="0" collapsed="false">
      <c r="A898" s="6" t="s">
        <v>897</v>
      </c>
      <c r="B898" s="7" t="n">
        <v>0.052531</v>
      </c>
      <c r="C898" s="7" t="n">
        <f aca="false">((1+B898/100)^21-1)*100</f>
        <v>1.10896528780244</v>
      </c>
    </row>
    <row r="899" customFormat="false" ht="15" hidden="false" customHeight="false" outlineLevel="0" collapsed="false">
      <c r="A899" s="6" t="s">
        <v>898</v>
      </c>
      <c r="B899" s="7" t="n">
        <v>0.052531</v>
      </c>
      <c r="C899" s="7" t="n">
        <f aca="false">((1+B899/100)^21-1)*100</f>
        <v>1.10896528780244</v>
      </c>
    </row>
    <row r="900" customFormat="false" ht="15" hidden="false" customHeight="false" outlineLevel="0" collapsed="false">
      <c r="A900" s="6" t="s">
        <v>899</v>
      </c>
      <c r="B900" s="7" t="n">
        <v>0.052531</v>
      </c>
      <c r="C900" s="7" t="n">
        <f aca="false">((1+B900/100)^21-1)*100</f>
        <v>1.10896528780244</v>
      </c>
    </row>
    <row r="901" customFormat="false" ht="15" hidden="false" customHeight="false" outlineLevel="0" collapsed="false">
      <c r="A901" s="6" t="s">
        <v>900</v>
      </c>
      <c r="B901" s="7" t="n">
        <v>0.052531</v>
      </c>
      <c r="C901" s="7" t="n">
        <f aca="false">((1+B901/100)^21-1)*100</f>
        <v>1.10896528780244</v>
      </c>
    </row>
    <row r="902" customFormat="false" ht="15" hidden="false" customHeight="false" outlineLevel="0" collapsed="false">
      <c r="A902" s="6" t="s">
        <v>901</v>
      </c>
      <c r="B902" s="7" t="n">
        <v>0.052531</v>
      </c>
      <c r="C902" s="7" t="n">
        <f aca="false">((1+B902/100)^21-1)*100</f>
        <v>1.10896528780244</v>
      </c>
    </row>
    <row r="903" customFormat="false" ht="15" hidden="false" customHeight="false" outlineLevel="0" collapsed="false">
      <c r="A903" s="6" t="s">
        <v>902</v>
      </c>
      <c r="B903" s="7" t="n">
        <v>0.052531</v>
      </c>
      <c r="C903" s="7" t="n">
        <f aca="false">((1+B903/100)^21-1)*100</f>
        <v>1.10896528780244</v>
      </c>
    </row>
    <row r="904" customFormat="false" ht="15" hidden="false" customHeight="false" outlineLevel="0" collapsed="false">
      <c r="A904" s="6" t="s">
        <v>903</v>
      </c>
      <c r="B904" s="7" t="n">
        <v>0.052531</v>
      </c>
      <c r="C904" s="7" t="n">
        <f aca="false">((1+B904/100)^21-1)*100</f>
        <v>1.10896528780244</v>
      </c>
    </row>
    <row r="905" customFormat="false" ht="15" hidden="false" customHeight="false" outlineLevel="0" collapsed="false">
      <c r="A905" s="6" t="s">
        <v>904</v>
      </c>
      <c r="B905" s="7" t="n">
        <v>0.052531</v>
      </c>
      <c r="C905" s="7" t="n">
        <f aca="false">((1+B905/100)^21-1)*100</f>
        <v>1.10896528780244</v>
      </c>
    </row>
    <row r="906" customFormat="false" ht="15" hidden="false" customHeight="false" outlineLevel="0" collapsed="false">
      <c r="A906" s="6" t="s">
        <v>905</v>
      </c>
      <c r="B906" s="7" t="n">
        <v>0.052531</v>
      </c>
      <c r="C906" s="7" t="n">
        <f aca="false">((1+B906/100)^21-1)*100</f>
        <v>1.10896528780244</v>
      </c>
    </row>
    <row r="907" customFormat="false" ht="15" hidden="false" customHeight="false" outlineLevel="0" collapsed="false">
      <c r="A907" s="6" t="s">
        <v>906</v>
      </c>
      <c r="B907" s="7" t="n">
        <v>0.052531</v>
      </c>
      <c r="C907" s="7" t="n">
        <f aca="false">((1+B907/100)^21-1)*100</f>
        <v>1.10896528780244</v>
      </c>
    </row>
    <row r="908" customFormat="false" ht="15" hidden="false" customHeight="false" outlineLevel="0" collapsed="false">
      <c r="A908" s="6" t="s">
        <v>907</v>
      </c>
      <c r="B908" s="7" t="n">
        <v>0.052531</v>
      </c>
      <c r="C908" s="7" t="n">
        <f aca="false">((1+B908/100)^21-1)*100</f>
        <v>1.10896528780244</v>
      </c>
    </row>
    <row r="909" customFormat="false" ht="15" hidden="false" customHeight="false" outlineLevel="0" collapsed="false">
      <c r="A909" s="6" t="s">
        <v>908</v>
      </c>
      <c r="B909" s="7" t="n">
        <v>0.052531</v>
      </c>
      <c r="C909" s="7" t="n">
        <f aca="false">((1+B909/100)^21-1)*100</f>
        <v>1.10896528780244</v>
      </c>
    </row>
    <row r="910" customFormat="false" ht="15" hidden="false" customHeight="false" outlineLevel="0" collapsed="false">
      <c r="A910" s="6" t="s">
        <v>909</v>
      </c>
      <c r="B910" s="7" t="n">
        <v>0.05166</v>
      </c>
      <c r="C910" s="7" t="n">
        <f aca="false">((1+B910/100)^21-1)*100</f>
        <v>1.09048276589447</v>
      </c>
    </row>
    <row r="911" customFormat="false" ht="15" hidden="false" customHeight="false" outlineLevel="0" collapsed="false">
      <c r="A911" s="6" t="s">
        <v>910</v>
      </c>
      <c r="B911" s="7" t="n">
        <v>0.05166</v>
      </c>
      <c r="C911" s="7" t="n">
        <f aca="false">((1+B911/100)^21-1)*100</f>
        <v>1.09048276589447</v>
      </c>
    </row>
    <row r="912" customFormat="false" ht="15" hidden="false" customHeight="false" outlineLevel="0" collapsed="false">
      <c r="A912" s="6" t="s">
        <v>911</v>
      </c>
      <c r="B912" s="7" t="n">
        <v>0.05166</v>
      </c>
      <c r="C912" s="7" t="n">
        <f aca="false">((1+B912/100)^21-1)*100</f>
        <v>1.09048276589447</v>
      </c>
    </row>
    <row r="913" customFormat="false" ht="15" hidden="false" customHeight="false" outlineLevel="0" collapsed="false">
      <c r="A913" s="6" t="s">
        <v>912</v>
      </c>
      <c r="B913" s="7" t="n">
        <v>0.05166</v>
      </c>
      <c r="C913" s="7" t="n">
        <f aca="false">((1+B913/100)^21-1)*100</f>
        <v>1.09048276589447</v>
      </c>
    </row>
    <row r="914" customFormat="false" ht="15" hidden="false" customHeight="false" outlineLevel="0" collapsed="false">
      <c r="A914" s="6" t="s">
        <v>913</v>
      </c>
      <c r="B914" s="7" t="n">
        <v>0.05166</v>
      </c>
      <c r="C914" s="7" t="n">
        <f aca="false">((1+B914/100)^21-1)*100</f>
        <v>1.09048276589447</v>
      </c>
    </row>
    <row r="915" customFormat="false" ht="15" hidden="false" customHeight="false" outlineLevel="0" collapsed="false">
      <c r="A915" s="6" t="s">
        <v>914</v>
      </c>
      <c r="B915" s="7" t="n">
        <v>0.05166</v>
      </c>
      <c r="C915" s="7" t="n">
        <f aca="false">((1+B915/100)^21-1)*100</f>
        <v>1.09048276589447</v>
      </c>
    </row>
    <row r="916" customFormat="false" ht="15" hidden="false" customHeight="false" outlineLevel="0" collapsed="false">
      <c r="A916" s="6" t="s">
        <v>915</v>
      </c>
      <c r="B916" s="7" t="n">
        <v>0.05166</v>
      </c>
      <c r="C916" s="7" t="n">
        <f aca="false">((1+B916/100)^21-1)*100</f>
        <v>1.09048276589447</v>
      </c>
    </row>
    <row r="917" customFormat="false" ht="15" hidden="false" customHeight="false" outlineLevel="0" collapsed="false">
      <c r="A917" s="6" t="s">
        <v>916</v>
      </c>
      <c r="B917" s="7" t="n">
        <v>0.05166</v>
      </c>
      <c r="C917" s="7" t="n">
        <f aca="false">((1+B917/100)^21-1)*100</f>
        <v>1.09048276589447</v>
      </c>
    </row>
    <row r="918" customFormat="false" ht="15" hidden="false" customHeight="false" outlineLevel="0" collapsed="false">
      <c r="A918" s="6" t="s">
        <v>917</v>
      </c>
      <c r="B918" s="7" t="n">
        <v>0.05166</v>
      </c>
      <c r="C918" s="7" t="n">
        <f aca="false">((1+B918/100)^21-1)*100</f>
        <v>1.09048276589447</v>
      </c>
    </row>
    <row r="919" customFormat="false" ht="15" hidden="false" customHeight="false" outlineLevel="0" collapsed="false">
      <c r="A919" s="6" t="s">
        <v>918</v>
      </c>
      <c r="B919" s="7" t="n">
        <v>0.05166</v>
      </c>
      <c r="C919" s="7" t="n">
        <f aca="false">((1+B919/100)^21-1)*100</f>
        <v>1.09048276589447</v>
      </c>
    </row>
    <row r="920" customFormat="false" ht="15" hidden="false" customHeight="false" outlineLevel="0" collapsed="false">
      <c r="A920" s="6" t="s">
        <v>919</v>
      </c>
      <c r="B920" s="7" t="n">
        <v>0.05166</v>
      </c>
      <c r="C920" s="7" t="n">
        <f aca="false">((1+B920/100)^21-1)*100</f>
        <v>1.09048276589447</v>
      </c>
    </row>
    <row r="921" customFormat="false" ht="15" hidden="false" customHeight="false" outlineLevel="0" collapsed="false">
      <c r="A921" s="6" t="s">
        <v>920</v>
      </c>
      <c r="B921" s="7" t="n">
        <v>0.05166</v>
      </c>
      <c r="C921" s="7" t="n">
        <f aca="false">((1+B921/100)^21-1)*100</f>
        <v>1.09048276589447</v>
      </c>
    </row>
    <row r="922" customFormat="false" ht="15" hidden="false" customHeight="false" outlineLevel="0" collapsed="false">
      <c r="A922" s="6" t="s">
        <v>921</v>
      </c>
      <c r="B922" s="7" t="n">
        <v>0.05166</v>
      </c>
      <c r="C922" s="7" t="n">
        <f aca="false">((1+B922/100)^21-1)*100</f>
        <v>1.09048276589447</v>
      </c>
    </row>
    <row r="923" customFormat="false" ht="15" hidden="false" customHeight="false" outlineLevel="0" collapsed="false">
      <c r="A923" s="6" t="s">
        <v>922</v>
      </c>
      <c r="B923" s="7" t="n">
        <v>0.05166</v>
      </c>
      <c r="C923" s="7" t="n">
        <f aca="false">((1+B923/100)^21-1)*100</f>
        <v>1.09048276589447</v>
      </c>
    </row>
    <row r="924" customFormat="false" ht="15" hidden="false" customHeight="false" outlineLevel="0" collapsed="false">
      <c r="A924" s="6" t="s">
        <v>923</v>
      </c>
      <c r="B924" s="7" t="n">
        <v>0.05166</v>
      </c>
      <c r="C924" s="7" t="n">
        <f aca="false">((1+B924/100)^21-1)*100</f>
        <v>1.09048276589447</v>
      </c>
    </row>
    <row r="925" customFormat="false" ht="15" hidden="false" customHeight="false" outlineLevel="0" collapsed="false">
      <c r="A925" s="6" t="s">
        <v>924</v>
      </c>
      <c r="B925" s="7" t="n">
        <v>0.05166</v>
      </c>
      <c r="C925" s="7" t="n">
        <f aca="false">((1+B925/100)^21-1)*100</f>
        <v>1.09048276589447</v>
      </c>
    </row>
    <row r="926" customFormat="false" ht="15" hidden="false" customHeight="false" outlineLevel="0" collapsed="false">
      <c r="A926" s="6" t="s">
        <v>925</v>
      </c>
      <c r="B926" s="7" t="n">
        <v>0.05166</v>
      </c>
      <c r="C926" s="7" t="n">
        <f aca="false">((1+B926/100)^21-1)*100</f>
        <v>1.09048276589447</v>
      </c>
    </row>
    <row r="927" customFormat="false" ht="15" hidden="false" customHeight="false" outlineLevel="0" collapsed="false">
      <c r="A927" s="6" t="s">
        <v>926</v>
      </c>
      <c r="B927" s="7" t="n">
        <v>0.05166</v>
      </c>
      <c r="C927" s="7" t="n">
        <f aca="false">((1+B927/100)^21-1)*100</f>
        <v>1.09048276589447</v>
      </c>
    </row>
    <row r="928" customFormat="false" ht="15" hidden="false" customHeight="false" outlineLevel="0" collapsed="false">
      <c r="A928" s="6" t="s">
        <v>927</v>
      </c>
      <c r="B928" s="7" t="n">
        <v>0.05166</v>
      </c>
      <c r="C928" s="7" t="n">
        <f aca="false">((1+B928/100)^21-1)*100</f>
        <v>1.09048276589447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928</v>
      </c>
    </row>
    <row r="2" customFormat="false" ht="15" hidden="false" customHeight="false" outlineLevel="0" collapsed="false">
      <c r="A2" s="2" t="s">
        <v>929</v>
      </c>
    </row>
    <row r="4" customFormat="false" ht="15" hidden="false" customHeight="false" outlineLevel="0" collapsed="false">
      <c r="A4" s="3" t="s">
        <v>2</v>
      </c>
      <c r="C4" s="4" t="n">
        <f aca="false">AVERAGE(C8:C1347)</f>
        <v>1.03740950498759</v>
      </c>
    </row>
    <row r="5" customFormat="false" ht="15" hidden="false" customHeight="false" outlineLevel="0" collapsed="false">
      <c r="A5" s="3" t="s">
        <v>3</v>
      </c>
      <c r="C5" s="4" t="n">
        <f aca="false">_xlfn.STDEV.S(C8:C1347)</f>
        <v>0.119447573076173</v>
      </c>
    </row>
    <row r="7" customFormat="false" ht="15" hidden="false" customHeight="false" outlineLevel="0" collapsed="false">
      <c r="A7" s="5" t="s">
        <v>4</v>
      </c>
      <c r="B7" s="5" t="s">
        <v>930</v>
      </c>
      <c r="C7" s="5" t="s">
        <v>6</v>
      </c>
    </row>
    <row r="8" customFormat="false" ht="15" hidden="false" customHeight="false" outlineLevel="0" collapsed="false">
      <c r="A8" s="6" t="s">
        <v>931</v>
      </c>
      <c r="B8" s="8" t="n">
        <v>13.75</v>
      </c>
      <c r="C8" s="7" t="n">
        <f aca="false">((1+B8/100)^(1/12)-1)*100</f>
        <v>1.07939110821322</v>
      </c>
    </row>
    <row r="9" customFormat="false" ht="15" hidden="false" customHeight="false" outlineLevel="0" collapsed="false">
      <c r="A9" s="6" t="s">
        <v>7</v>
      </c>
      <c r="B9" s="8" t="n">
        <v>13.75</v>
      </c>
      <c r="C9" s="7" t="n">
        <f aca="false">((1+B9/100)^(1/12)-1)*100</f>
        <v>1.07939110821322</v>
      </c>
    </row>
    <row r="10" customFormat="false" ht="15" hidden="false" customHeight="false" outlineLevel="0" collapsed="false">
      <c r="A10" s="6" t="s">
        <v>8</v>
      </c>
      <c r="B10" s="8" t="n">
        <v>13.75</v>
      </c>
      <c r="C10" s="7" t="n">
        <f aca="false">((1+B10/100)^(1/12)-1)*100</f>
        <v>1.07939110821322</v>
      </c>
    </row>
    <row r="11" customFormat="false" ht="15" hidden="false" customHeight="false" outlineLevel="0" collapsed="false">
      <c r="A11" s="6" t="s">
        <v>9</v>
      </c>
      <c r="B11" s="8" t="n">
        <v>13.75</v>
      </c>
      <c r="C11" s="7" t="n">
        <f aca="false">((1+B11/100)^(1/12)-1)*100</f>
        <v>1.07939110821322</v>
      </c>
    </row>
    <row r="12" customFormat="false" ht="15" hidden="false" customHeight="false" outlineLevel="0" collapsed="false">
      <c r="A12" s="6" t="s">
        <v>10</v>
      </c>
      <c r="B12" s="8" t="n">
        <v>13.75</v>
      </c>
      <c r="C12" s="7" t="n">
        <f aca="false">((1+B12/100)^(1/12)-1)*100</f>
        <v>1.07939110821322</v>
      </c>
    </row>
    <row r="13" customFormat="false" ht="15" hidden="false" customHeight="false" outlineLevel="0" collapsed="false">
      <c r="A13" s="6" t="s">
        <v>11</v>
      </c>
      <c r="B13" s="8" t="n">
        <v>13.75</v>
      </c>
      <c r="C13" s="7" t="n">
        <f aca="false">((1+B13/100)^(1/12)-1)*100</f>
        <v>1.07939110821322</v>
      </c>
    </row>
    <row r="14" customFormat="false" ht="15" hidden="false" customHeight="false" outlineLevel="0" collapsed="false">
      <c r="A14" s="6" t="s">
        <v>932</v>
      </c>
      <c r="B14" s="8" t="n">
        <v>13.75</v>
      </c>
      <c r="C14" s="7" t="n">
        <f aca="false">((1+B14/100)^(1/12)-1)*100</f>
        <v>1.07939110821322</v>
      </c>
    </row>
    <row r="15" customFormat="false" ht="15" hidden="false" customHeight="false" outlineLevel="0" collapsed="false">
      <c r="A15" s="6" t="s">
        <v>933</v>
      </c>
      <c r="B15" s="8" t="n">
        <v>13.75</v>
      </c>
      <c r="C15" s="7" t="n">
        <f aca="false">((1+B15/100)^(1/12)-1)*100</f>
        <v>1.07939110821322</v>
      </c>
    </row>
    <row r="16" customFormat="false" ht="15" hidden="false" customHeight="false" outlineLevel="0" collapsed="false">
      <c r="A16" s="6" t="s">
        <v>12</v>
      </c>
      <c r="B16" s="8" t="n">
        <v>13.75</v>
      </c>
      <c r="C16" s="7" t="n">
        <f aca="false">((1+B16/100)^(1/12)-1)*100</f>
        <v>1.07939110821322</v>
      </c>
    </row>
    <row r="17" customFormat="false" ht="15" hidden="false" customHeight="false" outlineLevel="0" collapsed="false">
      <c r="A17" s="6" t="s">
        <v>13</v>
      </c>
      <c r="B17" s="8" t="n">
        <v>13.75</v>
      </c>
      <c r="C17" s="7" t="n">
        <f aca="false">((1+B17/100)^(1/12)-1)*100</f>
        <v>1.07939110821322</v>
      </c>
    </row>
    <row r="18" customFormat="false" ht="15" hidden="false" customHeight="false" outlineLevel="0" collapsed="false">
      <c r="A18" s="6" t="s">
        <v>14</v>
      </c>
      <c r="B18" s="8" t="n">
        <v>13.75</v>
      </c>
      <c r="C18" s="7" t="n">
        <f aca="false">((1+B18/100)^(1/12)-1)*100</f>
        <v>1.07939110821322</v>
      </c>
    </row>
    <row r="19" customFormat="false" ht="15" hidden="false" customHeight="false" outlineLevel="0" collapsed="false">
      <c r="A19" s="6" t="s">
        <v>15</v>
      </c>
      <c r="B19" s="8" t="n">
        <v>13.75</v>
      </c>
      <c r="C19" s="7" t="n">
        <f aca="false">((1+B19/100)^(1/12)-1)*100</f>
        <v>1.07939110821322</v>
      </c>
    </row>
    <row r="20" customFormat="false" ht="15" hidden="false" customHeight="false" outlineLevel="0" collapsed="false">
      <c r="A20" s="6" t="s">
        <v>16</v>
      </c>
      <c r="B20" s="8" t="n">
        <v>13.75</v>
      </c>
      <c r="C20" s="7" t="n">
        <f aca="false">((1+B20/100)^(1/12)-1)*100</f>
        <v>1.07939110821322</v>
      </c>
    </row>
    <row r="21" customFormat="false" ht="15" hidden="false" customHeight="false" outlineLevel="0" collapsed="false">
      <c r="A21" s="6" t="s">
        <v>934</v>
      </c>
      <c r="B21" s="8" t="n">
        <v>13.75</v>
      </c>
      <c r="C21" s="7" t="n">
        <f aca="false">((1+B21/100)^(1/12)-1)*100</f>
        <v>1.07939110821322</v>
      </c>
    </row>
    <row r="22" customFormat="false" ht="15" hidden="false" customHeight="false" outlineLevel="0" collapsed="false">
      <c r="A22" s="6" t="s">
        <v>935</v>
      </c>
      <c r="B22" s="8" t="n">
        <v>13.75</v>
      </c>
      <c r="C22" s="7" t="n">
        <f aca="false">((1+B22/100)^(1/12)-1)*100</f>
        <v>1.07939110821322</v>
      </c>
    </row>
    <row r="23" customFormat="false" ht="15" hidden="false" customHeight="false" outlineLevel="0" collapsed="false">
      <c r="A23" s="6" t="s">
        <v>17</v>
      </c>
      <c r="B23" s="8" t="n">
        <v>13.75</v>
      </c>
      <c r="C23" s="7" t="n">
        <f aca="false">((1+B23/100)^(1/12)-1)*100</f>
        <v>1.07939110821322</v>
      </c>
    </row>
    <row r="24" customFormat="false" ht="15" hidden="false" customHeight="false" outlineLevel="0" collapsed="false">
      <c r="A24" s="6" t="s">
        <v>18</v>
      </c>
      <c r="B24" s="8" t="n">
        <v>13.75</v>
      </c>
      <c r="C24" s="7" t="n">
        <f aca="false">((1+B24/100)^(1/12)-1)*100</f>
        <v>1.07939110821322</v>
      </c>
    </row>
    <row r="25" customFormat="false" ht="15" hidden="false" customHeight="false" outlineLevel="0" collapsed="false">
      <c r="A25" s="6" t="s">
        <v>19</v>
      </c>
      <c r="B25" s="8" t="n">
        <v>13.75</v>
      </c>
      <c r="C25" s="7" t="n">
        <f aca="false">((1+B25/100)^(1/12)-1)*100</f>
        <v>1.07939110821322</v>
      </c>
    </row>
    <row r="26" customFormat="false" ht="15" hidden="false" customHeight="false" outlineLevel="0" collapsed="false">
      <c r="A26" s="6" t="s">
        <v>20</v>
      </c>
      <c r="B26" s="8" t="n">
        <v>13.75</v>
      </c>
      <c r="C26" s="7" t="n">
        <f aca="false">((1+B26/100)^(1/12)-1)*100</f>
        <v>1.07939110821322</v>
      </c>
    </row>
    <row r="27" customFormat="false" ht="15" hidden="false" customHeight="false" outlineLevel="0" collapsed="false">
      <c r="A27" s="6" t="s">
        <v>21</v>
      </c>
      <c r="B27" s="8" t="n">
        <v>13.75</v>
      </c>
      <c r="C27" s="7" t="n">
        <f aca="false">((1+B27/100)^(1/12)-1)*100</f>
        <v>1.07939110821322</v>
      </c>
    </row>
    <row r="28" customFormat="false" ht="15" hidden="false" customHeight="false" outlineLevel="0" collapsed="false">
      <c r="A28" s="6" t="s">
        <v>936</v>
      </c>
      <c r="B28" s="8" t="n">
        <v>13.75</v>
      </c>
      <c r="C28" s="7" t="n">
        <f aca="false">((1+B28/100)^(1/12)-1)*100</f>
        <v>1.07939110821322</v>
      </c>
    </row>
    <row r="29" customFormat="false" ht="15" hidden="false" customHeight="false" outlineLevel="0" collapsed="false">
      <c r="A29" s="6" t="s">
        <v>937</v>
      </c>
      <c r="B29" s="8" t="n">
        <v>13.75</v>
      </c>
      <c r="C29" s="7" t="n">
        <f aca="false">((1+B29/100)^(1/12)-1)*100</f>
        <v>1.07939110821322</v>
      </c>
    </row>
    <row r="30" customFormat="false" ht="15" hidden="false" customHeight="false" outlineLevel="0" collapsed="false">
      <c r="A30" s="6" t="s">
        <v>22</v>
      </c>
      <c r="B30" s="8" t="n">
        <v>13.75</v>
      </c>
      <c r="C30" s="7" t="n">
        <f aca="false">((1+B30/100)^(1/12)-1)*100</f>
        <v>1.07939110821322</v>
      </c>
    </row>
    <row r="31" customFormat="false" ht="15" hidden="false" customHeight="false" outlineLevel="0" collapsed="false">
      <c r="A31" s="6" t="s">
        <v>23</v>
      </c>
      <c r="B31" s="8" t="n">
        <v>13.75</v>
      </c>
      <c r="C31" s="7" t="n">
        <f aca="false">((1+B31/100)^(1/12)-1)*100</f>
        <v>1.07939110821322</v>
      </c>
    </row>
    <row r="32" customFormat="false" ht="15" hidden="false" customHeight="false" outlineLevel="0" collapsed="false">
      <c r="A32" s="6" t="s">
        <v>24</v>
      </c>
      <c r="B32" s="8" t="n">
        <v>13.75</v>
      </c>
      <c r="C32" s="7" t="n">
        <f aca="false">((1+B32/100)^(1/12)-1)*100</f>
        <v>1.07939110821322</v>
      </c>
    </row>
    <row r="33" customFormat="false" ht="15" hidden="false" customHeight="false" outlineLevel="0" collapsed="false">
      <c r="A33" s="6" t="s">
        <v>25</v>
      </c>
      <c r="B33" s="8" t="n">
        <v>13.75</v>
      </c>
      <c r="C33" s="7" t="n">
        <f aca="false">((1+B33/100)^(1/12)-1)*100</f>
        <v>1.07939110821322</v>
      </c>
    </row>
    <row r="34" customFormat="false" ht="15" hidden="false" customHeight="false" outlineLevel="0" collapsed="false">
      <c r="A34" s="6" t="s">
        <v>26</v>
      </c>
      <c r="B34" s="8" t="n">
        <v>13.75</v>
      </c>
      <c r="C34" s="7" t="n">
        <f aca="false">((1+B34/100)^(1/12)-1)*100</f>
        <v>1.07939110821322</v>
      </c>
    </row>
    <row r="35" customFormat="false" ht="15" hidden="false" customHeight="false" outlineLevel="0" collapsed="false">
      <c r="A35" s="6" t="s">
        <v>938</v>
      </c>
      <c r="B35" s="8" t="n">
        <v>13.75</v>
      </c>
      <c r="C35" s="7" t="n">
        <f aca="false">((1+B35/100)^(1/12)-1)*100</f>
        <v>1.07939110821322</v>
      </c>
    </row>
    <row r="36" customFormat="false" ht="15" hidden="false" customHeight="false" outlineLevel="0" collapsed="false">
      <c r="A36" s="6" t="s">
        <v>939</v>
      </c>
      <c r="B36" s="8" t="n">
        <v>13.75</v>
      </c>
      <c r="C36" s="7" t="n">
        <f aca="false">((1+B36/100)^(1/12)-1)*100</f>
        <v>1.07939110821322</v>
      </c>
    </row>
    <row r="37" customFormat="false" ht="15" hidden="false" customHeight="false" outlineLevel="0" collapsed="false">
      <c r="A37" s="6" t="s">
        <v>27</v>
      </c>
      <c r="B37" s="8" t="n">
        <v>13.75</v>
      </c>
      <c r="C37" s="7" t="n">
        <f aca="false">((1+B37/100)^(1/12)-1)*100</f>
        <v>1.07939110821322</v>
      </c>
    </row>
    <row r="38" customFormat="false" ht="15" hidden="false" customHeight="false" outlineLevel="0" collapsed="false">
      <c r="A38" s="6" t="s">
        <v>28</v>
      </c>
      <c r="B38" s="8" t="n">
        <v>13.75</v>
      </c>
      <c r="C38" s="7" t="n">
        <f aca="false">((1+B38/100)^(1/12)-1)*100</f>
        <v>1.07939110821322</v>
      </c>
    </row>
    <row r="39" customFormat="false" ht="15" hidden="false" customHeight="false" outlineLevel="0" collapsed="false">
      <c r="A39" s="6" t="s">
        <v>29</v>
      </c>
      <c r="B39" s="8" t="n">
        <v>13.75</v>
      </c>
      <c r="C39" s="7" t="n">
        <f aca="false">((1+B39/100)^(1/12)-1)*100</f>
        <v>1.07939110821322</v>
      </c>
    </row>
    <row r="40" customFormat="false" ht="15" hidden="false" customHeight="false" outlineLevel="0" collapsed="false">
      <c r="A40" s="6" t="s">
        <v>30</v>
      </c>
      <c r="B40" s="8" t="n">
        <v>13.75</v>
      </c>
      <c r="C40" s="7" t="n">
        <f aca="false">((1+B40/100)^(1/12)-1)*100</f>
        <v>1.07939110821322</v>
      </c>
    </row>
    <row r="41" customFormat="false" ht="15" hidden="false" customHeight="false" outlineLevel="0" collapsed="false">
      <c r="A41" s="6" t="s">
        <v>31</v>
      </c>
      <c r="B41" s="8" t="n">
        <v>13.75</v>
      </c>
      <c r="C41" s="7" t="n">
        <f aca="false">((1+B41/100)^(1/12)-1)*100</f>
        <v>1.07939110821322</v>
      </c>
    </row>
    <row r="42" customFormat="false" ht="15" hidden="false" customHeight="false" outlineLevel="0" collapsed="false">
      <c r="A42" s="6" t="s">
        <v>940</v>
      </c>
      <c r="B42" s="8" t="n">
        <v>13.75</v>
      </c>
      <c r="C42" s="7" t="n">
        <f aca="false">((1+B42/100)^(1/12)-1)*100</f>
        <v>1.07939110821322</v>
      </c>
    </row>
    <row r="43" customFormat="false" ht="15" hidden="false" customHeight="false" outlineLevel="0" collapsed="false">
      <c r="A43" s="6" t="s">
        <v>941</v>
      </c>
      <c r="B43" s="8" t="n">
        <v>13.75</v>
      </c>
      <c r="C43" s="7" t="n">
        <f aca="false">((1+B43/100)^(1/12)-1)*100</f>
        <v>1.07939110821322</v>
      </c>
    </row>
    <row r="44" customFormat="false" ht="15" hidden="false" customHeight="false" outlineLevel="0" collapsed="false">
      <c r="A44" s="6" t="s">
        <v>32</v>
      </c>
      <c r="B44" s="8" t="n">
        <v>13.75</v>
      </c>
      <c r="C44" s="7" t="n">
        <f aca="false">((1+B44/100)^(1/12)-1)*100</f>
        <v>1.07939110821322</v>
      </c>
    </row>
    <row r="45" customFormat="false" ht="15" hidden="false" customHeight="false" outlineLevel="0" collapsed="false">
      <c r="A45" s="6" t="s">
        <v>33</v>
      </c>
      <c r="B45" s="8" t="n">
        <v>13.75</v>
      </c>
      <c r="C45" s="7" t="n">
        <f aca="false">((1+B45/100)^(1/12)-1)*100</f>
        <v>1.07939110821322</v>
      </c>
    </row>
    <row r="46" customFormat="false" ht="15" hidden="false" customHeight="false" outlineLevel="0" collapsed="false">
      <c r="A46" s="6" t="s">
        <v>34</v>
      </c>
      <c r="B46" s="8" t="n">
        <v>13.75</v>
      </c>
      <c r="C46" s="7" t="n">
        <f aca="false">((1+B46/100)^(1/12)-1)*100</f>
        <v>1.07939110821322</v>
      </c>
    </row>
    <row r="47" customFormat="false" ht="15" hidden="false" customHeight="false" outlineLevel="0" collapsed="false">
      <c r="A47" s="6" t="s">
        <v>35</v>
      </c>
      <c r="B47" s="8" t="n">
        <v>13.75</v>
      </c>
      <c r="C47" s="7" t="n">
        <f aca="false">((1+B47/100)^(1/12)-1)*100</f>
        <v>1.07939110821322</v>
      </c>
    </row>
    <row r="48" customFormat="false" ht="15" hidden="false" customHeight="false" outlineLevel="0" collapsed="false">
      <c r="A48" s="6" t="s">
        <v>36</v>
      </c>
      <c r="B48" s="8" t="n">
        <v>13.75</v>
      </c>
      <c r="C48" s="7" t="n">
        <f aca="false">((1+B48/100)^(1/12)-1)*100</f>
        <v>1.07939110821322</v>
      </c>
    </row>
    <row r="49" customFormat="false" ht="15" hidden="false" customHeight="false" outlineLevel="0" collapsed="false">
      <c r="A49" s="6" t="s">
        <v>942</v>
      </c>
      <c r="B49" s="8" t="n">
        <v>13.75</v>
      </c>
      <c r="C49" s="7" t="n">
        <f aca="false">((1+B49/100)^(1/12)-1)*100</f>
        <v>1.07939110821322</v>
      </c>
    </row>
    <row r="50" customFormat="false" ht="15" hidden="false" customHeight="false" outlineLevel="0" collapsed="false">
      <c r="A50" s="6" t="s">
        <v>943</v>
      </c>
      <c r="B50" s="8" t="n">
        <v>13.75</v>
      </c>
      <c r="C50" s="7" t="n">
        <f aca="false">((1+B50/100)^(1/12)-1)*100</f>
        <v>1.07939110821322</v>
      </c>
    </row>
    <row r="51" customFormat="false" ht="15" hidden="false" customHeight="false" outlineLevel="0" collapsed="false">
      <c r="A51" s="6" t="s">
        <v>37</v>
      </c>
      <c r="B51" s="8" t="n">
        <v>13.75</v>
      </c>
      <c r="C51" s="7" t="n">
        <f aca="false">((1+B51/100)^(1/12)-1)*100</f>
        <v>1.07939110821322</v>
      </c>
    </row>
    <row r="52" customFormat="false" ht="15" hidden="false" customHeight="false" outlineLevel="0" collapsed="false">
      <c r="A52" s="6" t="s">
        <v>38</v>
      </c>
      <c r="B52" s="8" t="n">
        <v>13.75</v>
      </c>
      <c r="C52" s="7" t="n">
        <f aca="false">((1+B52/100)^(1/12)-1)*100</f>
        <v>1.07939110821322</v>
      </c>
    </row>
    <row r="53" customFormat="false" ht="15" hidden="false" customHeight="false" outlineLevel="0" collapsed="false">
      <c r="A53" s="6" t="s">
        <v>39</v>
      </c>
      <c r="B53" s="8" t="n">
        <v>13.75</v>
      </c>
      <c r="C53" s="7" t="n">
        <f aca="false">((1+B53/100)^(1/12)-1)*100</f>
        <v>1.07939110821322</v>
      </c>
    </row>
    <row r="54" customFormat="false" ht="15" hidden="false" customHeight="false" outlineLevel="0" collapsed="false">
      <c r="A54" s="6" t="s">
        <v>40</v>
      </c>
      <c r="B54" s="8" t="n">
        <v>13.75</v>
      </c>
      <c r="C54" s="7" t="n">
        <f aca="false">((1+B54/100)^(1/12)-1)*100</f>
        <v>1.07939110821322</v>
      </c>
    </row>
    <row r="55" customFormat="false" ht="15" hidden="false" customHeight="false" outlineLevel="0" collapsed="false">
      <c r="A55" s="6" t="s">
        <v>41</v>
      </c>
      <c r="B55" s="8" t="n">
        <v>13.75</v>
      </c>
      <c r="C55" s="7" t="n">
        <f aca="false">((1+B55/100)^(1/12)-1)*100</f>
        <v>1.07939110821322</v>
      </c>
    </row>
    <row r="56" customFormat="false" ht="15" hidden="false" customHeight="false" outlineLevel="0" collapsed="false">
      <c r="A56" s="6" t="s">
        <v>944</v>
      </c>
      <c r="B56" s="8" t="n">
        <v>13.75</v>
      </c>
      <c r="C56" s="7" t="n">
        <f aca="false">((1+B56/100)^(1/12)-1)*100</f>
        <v>1.07939110821322</v>
      </c>
    </row>
    <row r="57" customFormat="false" ht="15" hidden="false" customHeight="false" outlineLevel="0" collapsed="false">
      <c r="A57" s="6" t="s">
        <v>945</v>
      </c>
      <c r="B57" s="8" t="n">
        <v>13.75</v>
      </c>
      <c r="C57" s="7" t="n">
        <f aca="false">((1+B57/100)^(1/12)-1)*100</f>
        <v>1.07939110821322</v>
      </c>
    </row>
    <row r="58" customFormat="false" ht="15" hidden="false" customHeight="false" outlineLevel="0" collapsed="false">
      <c r="A58" s="6" t="s">
        <v>946</v>
      </c>
      <c r="B58" s="8" t="n">
        <v>13.75</v>
      </c>
      <c r="C58" s="7" t="n">
        <f aca="false">((1+B58/100)^(1/12)-1)*100</f>
        <v>1.07939110821322</v>
      </c>
    </row>
    <row r="59" customFormat="false" ht="15" hidden="false" customHeight="false" outlineLevel="0" collapsed="false">
      <c r="A59" s="6" t="s">
        <v>947</v>
      </c>
      <c r="B59" s="8" t="n">
        <v>13.75</v>
      </c>
      <c r="C59" s="7" t="n">
        <f aca="false">((1+B59/100)^(1/12)-1)*100</f>
        <v>1.07939110821322</v>
      </c>
    </row>
    <row r="60" customFormat="false" ht="15" hidden="false" customHeight="false" outlineLevel="0" collapsed="false">
      <c r="A60" s="6" t="s">
        <v>42</v>
      </c>
      <c r="B60" s="8" t="n">
        <v>13.75</v>
      </c>
      <c r="C60" s="7" t="n">
        <f aca="false">((1+B60/100)^(1/12)-1)*100</f>
        <v>1.07939110821322</v>
      </c>
    </row>
    <row r="61" customFormat="false" ht="15" hidden="false" customHeight="false" outlineLevel="0" collapsed="false">
      <c r="A61" s="6" t="s">
        <v>43</v>
      </c>
      <c r="B61" s="8" t="n">
        <v>13.75</v>
      </c>
      <c r="C61" s="7" t="n">
        <f aca="false">((1+B61/100)^(1/12)-1)*100</f>
        <v>1.07939110821322</v>
      </c>
    </row>
    <row r="62" customFormat="false" ht="15" hidden="false" customHeight="false" outlineLevel="0" collapsed="false">
      <c r="A62" s="6" t="s">
        <v>44</v>
      </c>
      <c r="B62" s="8" t="n">
        <v>13.75</v>
      </c>
      <c r="C62" s="7" t="n">
        <f aca="false">((1+B62/100)^(1/12)-1)*100</f>
        <v>1.07939110821322</v>
      </c>
    </row>
    <row r="63" customFormat="false" ht="15" hidden="false" customHeight="false" outlineLevel="0" collapsed="false">
      <c r="A63" s="6" t="s">
        <v>948</v>
      </c>
      <c r="B63" s="8" t="n">
        <v>13.75</v>
      </c>
      <c r="C63" s="7" t="n">
        <f aca="false">((1+B63/100)^(1/12)-1)*100</f>
        <v>1.07939110821322</v>
      </c>
    </row>
    <row r="64" customFormat="false" ht="15" hidden="false" customHeight="false" outlineLevel="0" collapsed="false">
      <c r="A64" s="6" t="s">
        <v>949</v>
      </c>
      <c r="B64" s="8" t="n">
        <v>13.75</v>
      </c>
      <c r="C64" s="7" t="n">
        <f aca="false">((1+B64/100)^(1/12)-1)*100</f>
        <v>1.07939110821322</v>
      </c>
    </row>
    <row r="65" customFormat="false" ht="15" hidden="false" customHeight="false" outlineLevel="0" collapsed="false">
      <c r="A65" s="6" t="s">
        <v>45</v>
      </c>
      <c r="B65" s="8" t="n">
        <v>13.75</v>
      </c>
      <c r="C65" s="7" t="n">
        <f aca="false">((1+B65/100)^(1/12)-1)*100</f>
        <v>1.07939110821322</v>
      </c>
    </row>
    <row r="66" customFormat="false" ht="15" hidden="false" customHeight="false" outlineLevel="0" collapsed="false">
      <c r="A66" s="6" t="s">
        <v>46</v>
      </c>
      <c r="B66" s="8" t="n">
        <v>13.75</v>
      </c>
      <c r="C66" s="7" t="n">
        <f aca="false">((1+B66/100)^(1/12)-1)*100</f>
        <v>1.07939110821322</v>
      </c>
    </row>
    <row r="67" customFormat="false" ht="15" hidden="false" customHeight="false" outlineLevel="0" collapsed="false">
      <c r="A67" s="6" t="s">
        <v>47</v>
      </c>
      <c r="B67" s="8" t="n">
        <v>13.75</v>
      </c>
      <c r="C67" s="7" t="n">
        <f aca="false">((1+B67/100)^(1/12)-1)*100</f>
        <v>1.07939110821322</v>
      </c>
    </row>
    <row r="68" customFormat="false" ht="15" hidden="false" customHeight="false" outlineLevel="0" collapsed="false">
      <c r="A68" s="6" t="s">
        <v>48</v>
      </c>
      <c r="B68" s="8" t="n">
        <v>13.75</v>
      </c>
      <c r="C68" s="7" t="n">
        <f aca="false">((1+B68/100)^(1/12)-1)*100</f>
        <v>1.07939110821322</v>
      </c>
    </row>
    <row r="69" customFormat="false" ht="15" hidden="false" customHeight="false" outlineLevel="0" collapsed="false">
      <c r="A69" s="6" t="s">
        <v>49</v>
      </c>
      <c r="B69" s="8" t="n">
        <v>13.75</v>
      </c>
      <c r="C69" s="7" t="n">
        <f aca="false">((1+B69/100)^(1/12)-1)*100</f>
        <v>1.07939110821322</v>
      </c>
    </row>
    <row r="70" customFormat="false" ht="15" hidden="false" customHeight="false" outlineLevel="0" collapsed="false">
      <c r="A70" s="6" t="s">
        <v>950</v>
      </c>
      <c r="B70" s="8" t="n">
        <v>13.75</v>
      </c>
      <c r="C70" s="7" t="n">
        <f aca="false">((1+B70/100)^(1/12)-1)*100</f>
        <v>1.07939110821322</v>
      </c>
    </row>
    <row r="71" customFormat="false" ht="15" hidden="false" customHeight="false" outlineLevel="0" collapsed="false">
      <c r="A71" s="6" t="s">
        <v>951</v>
      </c>
      <c r="B71" s="8" t="n">
        <v>13.75</v>
      </c>
      <c r="C71" s="7" t="n">
        <f aca="false">((1+B71/100)^(1/12)-1)*100</f>
        <v>1.07939110821322</v>
      </c>
    </row>
    <row r="72" customFormat="false" ht="15" hidden="false" customHeight="false" outlineLevel="0" collapsed="false">
      <c r="A72" s="6" t="s">
        <v>50</v>
      </c>
      <c r="B72" s="8" t="n">
        <v>13.75</v>
      </c>
      <c r="C72" s="7" t="n">
        <f aca="false">((1+B72/100)^(1/12)-1)*100</f>
        <v>1.07939110821322</v>
      </c>
    </row>
    <row r="73" customFormat="false" ht="15" hidden="false" customHeight="false" outlineLevel="0" collapsed="false">
      <c r="A73" s="6" t="s">
        <v>51</v>
      </c>
      <c r="B73" s="8" t="n">
        <v>13.75</v>
      </c>
      <c r="C73" s="7" t="n">
        <f aca="false">((1+B73/100)^(1/12)-1)*100</f>
        <v>1.07939110821322</v>
      </c>
    </row>
    <row r="74" customFormat="false" ht="15" hidden="false" customHeight="false" outlineLevel="0" collapsed="false">
      <c r="A74" s="6" t="s">
        <v>52</v>
      </c>
      <c r="B74" s="8" t="n">
        <v>13.75</v>
      </c>
      <c r="C74" s="7" t="n">
        <f aca="false">((1+B74/100)^(1/12)-1)*100</f>
        <v>1.07939110821322</v>
      </c>
    </row>
    <row r="75" customFormat="false" ht="15" hidden="false" customHeight="false" outlineLevel="0" collapsed="false">
      <c r="A75" s="6" t="s">
        <v>53</v>
      </c>
      <c r="B75" s="8" t="n">
        <v>13.75</v>
      </c>
      <c r="C75" s="7" t="n">
        <f aca="false">((1+B75/100)^(1/12)-1)*100</f>
        <v>1.07939110821322</v>
      </c>
    </row>
    <row r="76" customFormat="false" ht="15" hidden="false" customHeight="false" outlineLevel="0" collapsed="false">
      <c r="A76" s="6" t="s">
        <v>54</v>
      </c>
      <c r="B76" s="8" t="n">
        <v>13.75</v>
      </c>
      <c r="C76" s="7" t="n">
        <f aca="false">((1+B76/100)^(1/12)-1)*100</f>
        <v>1.07939110821322</v>
      </c>
    </row>
    <row r="77" customFormat="false" ht="15" hidden="false" customHeight="false" outlineLevel="0" collapsed="false">
      <c r="A77" s="6" t="s">
        <v>952</v>
      </c>
      <c r="B77" s="8" t="n">
        <v>13.75</v>
      </c>
      <c r="C77" s="7" t="n">
        <f aca="false">((1+B77/100)^(1/12)-1)*100</f>
        <v>1.07939110821322</v>
      </c>
    </row>
    <row r="78" customFormat="false" ht="15" hidden="false" customHeight="false" outlineLevel="0" collapsed="false">
      <c r="A78" s="6" t="s">
        <v>953</v>
      </c>
      <c r="B78" s="8" t="n">
        <v>13.75</v>
      </c>
      <c r="C78" s="7" t="n">
        <f aca="false">((1+B78/100)^(1/12)-1)*100</f>
        <v>1.07939110821322</v>
      </c>
    </row>
    <row r="79" customFormat="false" ht="15" hidden="false" customHeight="false" outlineLevel="0" collapsed="false">
      <c r="A79" s="6" t="s">
        <v>55</v>
      </c>
      <c r="B79" s="8" t="n">
        <v>13.75</v>
      </c>
      <c r="C79" s="7" t="n">
        <f aca="false">((1+B79/100)^(1/12)-1)*100</f>
        <v>1.07939110821322</v>
      </c>
    </row>
    <row r="80" customFormat="false" ht="15" hidden="false" customHeight="false" outlineLevel="0" collapsed="false">
      <c r="A80" s="6" t="s">
        <v>56</v>
      </c>
      <c r="B80" s="8" t="n">
        <v>13.75</v>
      </c>
      <c r="C80" s="7" t="n">
        <f aca="false">((1+B80/100)^(1/12)-1)*100</f>
        <v>1.07939110821322</v>
      </c>
    </row>
    <row r="81" customFormat="false" ht="15" hidden="false" customHeight="false" outlineLevel="0" collapsed="false">
      <c r="A81" s="6" t="s">
        <v>57</v>
      </c>
      <c r="B81" s="8" t="n">
        <v>13.75</v>
      </c>
      <c r="C81" s="7" t="n">
        <f aca="false">((1+B81/100)^(1/12)-1)*100</f>
        <v>1.07939110821322</v>
      </c>
    </row>
    <row r="82" customFormat="false" ht="15" hidden="false" customHeight="false" outlineLevel="0" collapsed="false">
      <c r="A82" s="6" t="s">
        <v>58</v>
      </c>
      <c r="B82" s="8" t="n">
        <v>13.75</v>
      </c>
      <c r="C82" s="7" t="n">
        <f aca="false">((1+B82/100)^(1/12)-1)*100</f>
        <v>1.07939110821322</v>
      </c>
    </row>
    <row r="83" customFormat="false" ht="15" hidden="false" customHeight="false" outlineLevel="0" collapsed="false">
      <c r="A83" s="6" t="s">
        <v>59</v>
      </c>
      <c r="B83" s="8" t="n">
        <v>13.75</v>
      </c>
      <c r="C83" s="7" t="n">
        <f aca="false">((1+B83/100)^(1/12)-1)*100</f>
        <v>1.07939110821322</v>
      </c>
    </row>
    <row r="84" customFormat="false" ht="15" hidden="false" customHeight="false" outlineLevel="0" collapsed="false">
      <c r="A84" s="6" t="s">
        <v>954</v>
      </c>
      <c r="B84" s="8" t="n">
        <v>13.75</v>
      </c>
      <c r="C84" s="7" t="n">
        <f aca="false">((1+B84/100)^(1/12)-1)*100</f>
        <v>1.07939110821322</v>
      </c>
    </row>
    <row r="85" customFormat="false" ht="15" hidden="false" customHeight="false" outlineLevel="0" collapsed="false">
      <c r="A85" s="6" t="s">
        <v>955</v>
      </c>
      <c r="B85" s="8" t="n">
        <v>13.75</v>
      </c>
      <c r="C85" s="7" t="n">
        <f aca="false">((1+B85/100)^(1/12)-1)*100</f>
        <v>1.07939110821322</v>
      </c>
    </row>
    <row r="86" customFormat="false" ht="15" hidden="false" customHeight="false" outlineLevel="0" collapsed="false">
      <c r="A86" s="6" t="s">
        <v>60</v>
      </c>
      <c r="B86" s="8" t="n">
        <v>13.75</v>
      </c>
      <c r="C86" s="7" t="n">
        <f aca="false">((1+B86/100)^(1/12)-1)*100</f>
        <v>1.07939110821322</v>
      </c>
    </row>
    <row r="87" customFormat="false" ht="15" hidden="false" customHeight="false" outlineLevel="0" collapsed="false">
      <c r="A87" s="6" t="s">
        <v>61</v>
      </c>
      <c r="B87" s="8" t="n">
        <v>13.75</v>
      </c>
      <c r="C87" s="7" t="n">
        <f aca="false">((1+B87/100)^(1/12)-1)*100</f>
        <v>1.07939110821322</v>
      </c>
    </row>
    <row r="88" customFormat="false" ht="15" hidden="false" customHeight="false" outlineLevel="0" collapsed="false">
      <c r="A88" s="6" t="s">
        <v>62</v>
      </c>
      <c r="B88" s="8" t="n">
        <v>13.75</v>
      </c>
      <c r="C88" s="7" t="n">
        <f aca="false">((1+B88/100)^(1/12)-1)*100</f>
        <v>1.07939110821322</v>
      </c>
    </row>
    <row r="89" customFormat="false" ht="15" hidden="false" customHeight="false" outlineLevel="0" collapsed="false">
      <c r="A89" s="6" t="s">
        <v>63</v>
      </c>
      <c r="B89" s="8" t="n">
        <v>13.75</v>
      </c>
      <c r="C89" s="7" t="n">
        <f aca="false">((1+B89/100)^(1/12)-1)*100</f>
        <v>1.07939110821322</v>
      </c>
    </row>
    <row r="90" customFormat="false" ht="15" hidden="false" customHeight="false" outlineLevel="0" collapsed="false">
      <c r="A90" s="6" t="s">
        <v>64</v>
      </c>
      <c r="B90" s="8" t="n">
        <v>13.75</v>
      </c>
      <c r="C90" s="7" t="n">
        <f aca="false">((1+B90/100)^(1/12)-1)*100</f>
        <v>1.07939110821322</v>
      </c>
    </row>
    <row r="91" customFormat="false" ht="15" hidden="false" customHeight="false" outlineLevel="0" collapsed="false">
      <c r="A91" s="6" t="s">
        <v>956</v>
      </c>
      <c r="B91" s="8" t="n">
        <v>13.75</v>
      </c>
      <c r="C91" s="7" t="n">
        <f aca="false">((1+B91/100)^(1/12)-1)*100</f>
        <v>1.07939110821322</v>
      </c>
    </row>
    <row r="92" customFormat="false" ht="15" hidden="false" customHeight="false" outlineLevel="0" collapsed="false">
      <c r="A92" s="6" t="s">
        <v>957</v>
      </c>
      <c r="B92" s="8" t="n">
        <v>13.75</v>
      </c>
      <c r="C92" s="7" t="n">
        <f aca="false">((1+B92/100)^(1/12)-1)*100</f>
        <v>1.07939110821322</v>
      </c>
    </row>
    <row r="93" customFormat="false" ht="15" hidden="false" customHeight="false" outlineLevel="0" collapsed="false">
      <c r="A93" s="6" t="s">
        <v>65</v>
      </c>
      <c r="B93" s="8" t="n">
        <v>13.75</v>
      </c>
      <c r="C93" s="7" t="n">
        <f aca="false">((1+B93/100)^(1/12)-1)*100</f>
        <v>1.07939110821322</v>
      </c>
    </row>
    <row r="94" customFormat="false" ht="15" hidden="false" customHeight="false" outlineLevel="0" collapsed="false">
      <c r="A94" s="6" t="s">
        <v>66</v>
      </c>
      <c r="B94" s="8" t="n">
        <v>13.75</v>
      </c>
      <c r="C94" s="7" t="n">
        <f aca="false">((1+B94/100)^(1/12)-1)*100</f>
        <v>1.07939110821322</v>
      </c>
    </row>
    <row r="95" customFormat="false" ht="15" hidden="false" customHeight="false" outlineLevel="0" collapsed="false">
      <c r="A95" s="6" t="s">
        <v>67</v>
      </c>
      <c r="B95" s="8" t="n">
        <v>13.75</v>
      </c>
      <c r="C95" s="7" t="n">
        <f aca="false">((1+B95/100)^(1/12)-1)*100</f>
        <v>1.07939110821322</v>
      </c>
    </row>
    <row r="96" customFormat="false" ht="15" hidden="false" customHeight="false" outlineLevel="0" collapsed="false">
      <c r="A96" s="6" t="s">
        <v>68</v>
      </c>
      <c r="B96" s="8" t="n">
        <v>13.75</v>
      </c>
      <c r="C96" s="7" t="n">
        <f aca="false">((1+B96/100)^(1/12)-1)*100</f>
        <v>1.07939110821322</v>
      </c>
    </row>
    <row r="97" customFormat="false" ht="15" hidden="false" customHeight="false" outlineLevel="0" collapsed="false">
      <c r="A97" s="6" t="s">
        <v>69</v>
      </c>
      <c r="B97" s="8" t="n">
        <v>13.75</v>
      </c>
      <c r="C97" s="7" t="n">
        <f aca="false">((1+B97/100)^(1/12)-1)*100</f>
        <v>1.07939110821322</v>
      </c>
    </row>
    <row r="98" customFormat="false" ht="15" hidden="false" customHeight="false" outlineLevel="0" collapsed="false">
      <c r="A98" s="6" t="s">
        <v>958</v>
      </c>
      <c r="B98" s="8" t="n">
        <v>13.75</v>
      </c>
      <c r="C98" s="7" t="n">
        <f aca="false">((1+B98/100)^(1/12)-1)*100</f>
        <v>1.07939110821322</v>
      </c>
    </row>
    <row r="99" customFormat="false" ht="15" hidden="false" customHeight="false" outlineLevel="0" collapsed="false">
      <c r="A99" s="6" t="s">
        <v>959</v>
      </c>
      <c r="B99" s="8" t="n">
        <v>13.75</v>
      </c>
      <c r="C99" s="7" t="n">
        <f aca="false">((1+B99/100)^(1/12)-1)*100</f>
        <v>1.07939110821322</v>
      </c>
    </row>
    <row r="100" customFormat="false" ht="15" hidden="false" customHeight="false" outlineLevel="0" collapsed="false">
      <c r="A100" s="6" t="s">
        <v>70</v>
      </c>
      <c r="B100" s="8" t="n">
        <v>13.75</v>
      </c>
      <c r="C100" s="7" t="n">
        <f aca="false">((1+B100/100)^(1/12)-1)*100</f>
        <v>1.07939110821322</v>
      </c>
    </row>
    <row r="101" customFormat="false" ht="15" hidden="false" customHeight="false" outlineLevel="0" collapsed="false">
      <c r="A101" s="6" t="s">
        <v>71</v>
      </c>
      <c r="B101" s="8" t="n">
        <v>13.75</v>
      </c>
      <c r="C101" s="7" t="n">
        <f aca="false">((1+B101/100)^(1/12)-1)*100</f>
        <v>1.07939110821322</v>
      </c>
    </row>
    <row r="102" customFormat="false" ht="15" hidden="false" customHeight="false" outlineLevel="0" collapsed="false">
      <c r="A102" s="6" t="s">
        <v>72</v>
      </c>
      <c r="B102" s="8" t="n">
        <v>13.75</v>
      </c>
      <c r="C102" s="7" t="n">
        <f aca="false">((1+B102/100)^(1/12)-1)*100</f>
        <v>1.07939110821322</v>
      </c>
    </row>
    <row r="103" customFormat="false" ht="15" hidden="false" customHeight="false" outlineLevel="0" collapsed="false">
      <c r="A103" s="6" t="s">
        <v>73</v>
      </c>
      <c r="B103" s="8" t="n">
        <v>13.75</v>
      </c>
      <c r="C103" s="7" t="n">
        <f aca="false">((1+B103/100)^(1/12)-1)*100</f>
        <v>1.07939110821322</v>
      </c>
    </row>
    <row r="104" customFormat="false" ht="15" hidden="false" customHeight="false" outlineLevel="0" collapsed="false">
      <c r="A104" s="6" t="s">
        <v>960</v>
      </c>
      <c r="B104" s="8" t="n">
        <v>13.75</v>
      </c>
      <c r="C104" s="7" t="n">
        <f aca="false">((1+B104/100)^(1/12)-1)*100</f>
        <v>1.07939110821322</v>
      </c>
    </row>
    <row r="105" customFormat="false" ht="15" hidden="false" customHeight="false" outlineLevel="0" collapsed="false">
      <c r="A105" s="6" t="s">
        <v>961</v>
      </c>
      <c r="B105" s="8" t="n">
        <v>13.75</v>
      </c>
      <c r="C105" s="7" t="n">
        <f aca="false">((1+B105/100)^(1/12)-1)*100</f>
        <v>1.07939110821322</v>
      </c>
    </row>
    <row r="106" customFormat="false" ht="15" hidden="false" customHeight="false" outlineLevel="0" collapsed="false">
      <c r="A106" s="6" t="s">
        <v>962</v>
      </c>
      <c r="B106" s="8" t="n">
        <v>13.75</v>
      </c>
      <c r="C106" s="7" t="n">
        <f aca="false">((1+B106/100)^(1/12)-1)*100</f>
        <v>1.07939110821322</v>
      </c>
    </row>
    <row r="107" customFormat="false" ht="15" hidden="false" customHeight="false" outlineLevel="0" collapsed="false">
      <c r="A107" s="6" t="s">
        <v>74</v>
      </c>
      <c r="B107" s="8" t="n">
        <v>13.75</v>
      </c>
      <c r="C107" s="7" t="n">
        <f aca="false">((1+B107/100)^(1/12)-1)*100</f>
        <v>1.07939110821322</v>
      </c>
    </row>
    <row r="108" customFormat="false" ht="15" hidden="false" customHeight="false" outlineLevel="0" collapsed="false">
      <c r="A108" s="6" t="s">
        <v>75</v>
      </c>
      <c r="B108" s="8" t="n">
        <v>13.75</v>
      </c>
      <c r="C108" s="7" t="n">
        <f aca="false">((1+B108/100)^(1/12)-1)*100</f>
        <v>1.07939110821322</v>
      </c>
    </row>
    <row r="109" customFormat="false" ht="15" hidden="false" customHeight="false" outlineLevel="0" collapsed="false">
      <c r="A109" s="6" t="s">
        <v>76</v>
      </c>
      <c r="B109" s="8" t="n">
        <v>13.75</v>
      </c>
      <c r="C109" s="7" t="n">
        <f aca="false">((1+B109/100)^(1/12)-1)*100</f>
        <v>1.07939110821322</v>
      </c>
    </row>
    <row r="110" customFormat="false" ht="15" hidden="false" customHeight="false" outlineLevel="0" collapsed="false">
      <c r="A110" s="6" t="s">
        <v>77</v>
      </c>
      <c r="B110" s="8" t="n">
        <v>13.75</v>
      </c>
      <c r="C110" s="7" t="n">
        <f aca="false">((1+B110/100)^(1/12)-1)*100</f>
        <v>1.07939110821322</v>
      </c>
    </row>
    <row r="111" customFormat="false" ht="15" hidden="false" customHeight="false" outlineLevel="0" collapsed="false">
      <c r="A111" s="6" t="s">
        <v>78</v>
      </c>
      <c r="B111" s="8" t="n">
        <v>13.75</v>
      </c>
      <c r="C111" s="7" t="n">
        <f aca="false">((1+B111/100)^(1/12)-1)*100</f>
        <v>1.07939110821322</v>
      </c>
    </row>
    <row r="112" customFormat="false" ht="15" hidden="false" customHeight="false" outlineLevel="0" collapsed="false">
      <c r="A112" s="6" t="s">
        <v>963</v>
      </c>
      <c r="B112" s="8" t="n">
        <v>13.75</v>
      </c>
      <c r="C112" s="7" t="n">
        <f aca="false">((1+B112/100)^(1/12)-1)*100</f>
        <v>1.07939110821322</v>
      </c>
    </row>
    <row r="113" customFormat="false" ht="15" hidden="false" customHeight="false" outlineLevel="0" collapsed="false">
      <c r="A113" s="6" t="s">
        <v>964</v>
      </c>
      <c r="B113" s="8" t="n">
        <v>13.75</v>
      </c>
      <c r="C113" s="7" t="n">
        <f aca="false">((1+B113/100)^(1/12)-1)*100</f>
        <v>1.07939110821322</v>
      </c>
    </row>
    <row r="114" customFormat="false" ht="15" hidden="false" customHeight="false" outlineLevel="0" collapsed="false">
      <c r="A114" s="6" t="s">
        <v>79</v>
      </c>
      <c r="B114" s="8" t="n">
        <v>13.75</v>
      </c>
      <c r="C114" s="7" t="n">
        <f aca="false">((1+B114/100)^(1/12)-1)*100</f>
        <v>1.07939110821322</v>
      </c>
    </row>
    <row r="115" customFormat="false" ht="15" hidden="false" customHeight="false" outlineLevel="0" collapsed="false">
      <c r="A115" s="6" t="s">
        <v>80</v>
      </c>
      <c r="B115" s="8" t="n">
        <v>13.75</v>
      </c>
      <c r="C115" s="7" t="n">
        <f aca="false">((1+B115/100)^(1/12)-1)*100</f>
        <v>1.07939110821322</v>
      </c>
    </row>
    <row r="116" customFormat="false" ht="15" hidden="false" customHeight="false" outlineLevel="0" collapsed="false">
      <c r="A116" s="6" t="s">
        <v>81</v>
      </c>
      <c r="B116" s="8" t="n">
        <v>13.75</v>
      </c>
      <c r="C116" s="7" t="n">
        <f aca="false">((1+B116/100)^(1/12)-1)*100</f>
        <v>1.07939110821322</v>
      </c>
    </row>
    <row r="117" customFormat="false" ht="15" hidden="false" customHeight="false" outlineLevel="0" collapsed="false">
      <c r="A117" s="6" t="s">
        <v>82</v>
      </c>
      <c r="B117" s="8" t="n">
        <v>13.75</v>
      </c>
      <c r="C117" s="7" t="n">
        <f aca="false">((1+B117/100)^(1/12)-1)*100</f>
        <v>1.07939110821322</v>
      </c>
    </row>
    <row r="118" customFormat="false" ht="15" hidden="false" customHeight="false" outlineLevel="0" collapsed="false">
      <c r="A118" s="6" t="s">
        <v>965</v>
      </c>
      <c r="B118" s="8" t="n">
        <v>13.75</v>
      </c>
      <c r="C118" s="7" t="n">
        <f aca="false">((1+B118/100)^(1/12)-1)*100</f>
        <v>1.07939110821322</v>
      </c>
    </row>
    <row r="119" customFormat="false" ht="15" hidden="false" customHeight="false" outlineLevel="0" collapsed="false">
      <c r="A119" s="6" t="s">
        <v>966</v>
      </c>
      <c r="B119" s="8" t="n">
        <v>13.75</v>
      </c>
      <c r="C119" s="7" t="n">
        <f aca="false">((1+B119/100)^(1/12)-1)*100</f>
        <v>1.07939110821322</v>
      </c>
    </row>
    <row r="120" customFormat="false" ht="15" hidden="false" customHeight="false" outlineLevel="0" collapsed="false">
      <c r="A120" s="6" t="s">
        <v>967</v>
      </c>
      <c r="B120" s="8" t="n">
        <v>13.75</v>
      </c>
      <c r="C120" s="7" t="n">
        <f aca="false">((1+B120/100)^(1/12)-1)*100</f>
        <v>1.07939110821322</v>
      </c>
    </row>
    <row r="121" customFormat="false" ht="15" hidden="false" customHeight="false" outlineLevel="0" collapsed="false">
      <c r="A121" s="6" t="s">
        <v>83</v>
      </c>
      <c r="B121" s="8" t="n">
        <v>13.75</v>
      </c>
      <c r="C121" s="7" t="n">
        <f aca="false">((1+B121/100)^(1/12)-1)*100</f>
        <v>1.07939110821322</v>
      </c>
    </row>
    <row r="122" customFormat="false" ht="15" hidden="false" customHeight="false" outlineLevel="0" collapsed="false">
      <c r="A122" s="6" t="s">
        <v>84</v>
      </c>
      <c r="B122" s="8" t="n">
        <v>13.75</v>
      </c>
      <c r="C122" s="7" t="n">
        <f aca="false">((1+B122/100)^(1/12)-1)*100</f>
        <v>1.07939110821322</v>
      </c>
    </row>
    <row r="123" customFormat="false" ht="15" hidden="false" customHeight="false" outlineLevel="0" collapsed="false">
      <c r="A123" s="6" t="s">
        <v>85</v>
      </c>
      <c r="B123" s="8" t="n">
        <v>13.75</v>
      </c>
      <c r="C123" s="7" t="n">
        <f aca="false">((1+B123/100)^(1/12)-1)*100</f>
        <v>1.07939110821322</v>
      </c>
    </row>
    <row r="124" customFormat="false" ht="15" hidden="false" customHeight="false" outlineLevel="0" collapsed="false">
      <c r="A124" s="6" t="s">
        <v>86</v>
      </c>
      <c r="B124" s="8" t="n">
        <v>13.75</v>
      </c>
      <c r="C124" s="7" t="n">
        <f aca="false">((1+B124/100)^(1/12)-1)*100</f>
        <v>1.07939110821322</v>
      </c>
    </row>
    <row r="125" customFormat="false" ht="15" hidden="false" customHeight="false" outlineLevel="0" collapsed="false">
      <c r="A125" s="6" t="s">
        <v>87</v>
      </c>
      <c r="B125" s="8" t="n">
        <v>13.75</v>
      </c>
      <c r="C125" s="7" t="n">
        <f aca="false">((1+B125/100)^(1/12)-1)*100</f>
        <v>1.07939110821322</v>
      </c>
    </row>
    <row r="126" customFormat="false" ht="15" hidden="false" customHeight="false" outlineLevel="0" collapsed="false">
      <c r="A126" s="6" t="s">
        <v>968</v>
      </c>
      <c r="B126" s="8" t="n">
        <v>13.75</v>
      </c>
      <c r="C126" s="7" t="n">
        <f aca="false">((1+B126/100)^(1/12)-1)*100</f>
        <v>1.07939110821322</v>
      </c>
    </row>
    <row r="127" customFormat="false" ht="15" hidden="false" customHeight="false" outlineLevel="0" collapsed="false">
      <c r="A127" s="6" t="s">
        <v>969</v>
      </c>
      <c r="B127" s="8" t="n">
        <v>13.75</v>
      </c>
      <c r="C127" s="7" t="n">
        <f aca="false">((1+B127/100)^(1/12)-1)*100</f>
        <v>1.07939110821322</v>
      </c>
    </row>
    <row r="128" customFormat="false" ht="15" hidden="false" customHeight="false" outlineLevel="0" collapsed="false">
      <c r="A128" s="6" t="s">
        <v>970</v>
      </c>
      <c r="B128" s="8" t="n">
        <v>13.75</v>
      </c>
      <c r="C128" s="7" t="n">
        <f aca="false">((1+B128/100)^(1/12)-1)*100</f>
        <v>1.07939110821322</v>
      </c>
    </row>
    <row r="129" customFormat="false" ht="15" hidden="false" customHeight="false" outlineLevel="0" collapsed="false">
      <c r="A129" s="6" t="s">
        <v>88</v>
      </c>
      <c r="B129" s="8" t="n">
        <v>13.75</v>
      </c>
      <c r="C129" s="7" t="n">
        <f aca="false">((1+B129/100)^(1/12)-1)*100</f>
        <v>1.07939110821322</v>
      </c>
    </row>
    <row r="130" customFormat="false" ht="15" hidden="false" customHeight="false" outlineLevel="0" collapsed="false">
      <c r="A130" s="6" t="s">
        <v>89</v>
      </c>
      <c r="B130" s="8" t="n">
        <v>13.75</v>
      </c>
      <c r="C130" s="7" t="n">
        <f aca="false">((1+B130/100)^(1/12)-1)*100</f>
        <v>1.07939110821322</v>
      </c>
    </row>
    <row r="131" customFormat="false" ht="15" hidden="false" customHeight="false" outlineLevel="0" collapsed="false">
      <c r="A131" s="6" t="s">
        <v>90</v>
      </c>
      <c r="B131" s="8" t="n">
        <v>13.75</v>
      </c>
      <c r="C131" s="7" t="n">
        <f aca="false">((1+B131/100)^(1/12)-1)*100</f>
        <v>1.07939110821322</v>
      </c>
    </row>
    <row r="132" customFormat="false" ht="15" hidden="false" customHeight="false" outlineLevel="0" collapsed="false">
      <c r="A132" s="6" t="s">
        <v>91</v>
      </c>
      <c r="B132" s="8" t="n">
        <v>13.75</v>
      </c>
      <c r="C132" s="7" t="n">
        <f aca="false">((1+B132/100)^(1/12)-1)*100</f>
        <v>1.07939110821322</v>
      </c>
    </row>
    <row r="133" customFormat="false" ht="15" hidden="false" customHeight="false" outlineLevel="0" collapsed="false">
      <c r="A133" s="6" t="s">
        <v>971</v>
      </c>
      <c r="B133" s="8" t="n">
        <v>13.75</v>
      </c>
      <c r="C133" s="7" t="n">
        <f aca="false">((1+B133/100)^(1/12)-1)*100</f>
        <v>1.07939110821322</v>
      </c>
    </row>
    <row r="134" customFormat="false" ht="15" hidden="false" customHeight="false" outlineLevel="0" collapsed="false">
      <c r="A134" s="6" t="s">
        <v>972</v>
      </c>
      <c r="B134" s="8" t="n">
        <v>13.75</v>
      </c>
      <c r="C134" s="7" t="n">
        <f aca="false">((1+B134/100)^(1/12)-1)*100</f>
        <v>1.07939110821322</v>
      </c>
    </row>
    <row r="135" customFormat="false" ht="15" hidden="false" customHeight="false" outlineLevel="0" collapsed="false">
      <c r="A135" s="6" t="s">
        <v>92</v>
      </c>
      <c r="B135" s="8" t="n">
        <v>13.75</v>
      </c>
      <c r="C135" s="7" t="n">
        <f aca="false">((1+B135/100)^(1/12)-1)*100</f>
        <v>1.07939110821322</v>
      </c>
    </row>
    <row r="136" customFormat="false" ht="15" hidden="false" customHeight="false" outlineLevel="0" collapsed="false">
      <c r="A136" s="6" t="s">
        <v>93</v>
      </c>
      <c r="B136" s="8" t="n">
        <v>13.75</v>
      </c>
      <c r="C136" s="7" t="n">
        <f aca="false">((1+B136/100)^(1/12)-1)*100</f>
        <v>1.07939110821322</v>
      </c>
    </row>
    <row r="137" customFormat="false" ht="15" hidden="false" customHeight="false" outlineLevel="0" collapsed="false">
      <c r="A137" s="6" t="s">
        <v>94</v>
      </c>
      <c r="B137" s="8" t="n">
        <v>13.75</v>
      </c>
      <c r="C137" s="7" t="n">
        <f aca="false">((1+B137/100)^(1/12)-1)*100</f>
        <v>1.07939110821322</v>
      </c>
    </row>
    <row r="138" customFormat="false" ht="15" hidden="false" customHeight="false" outlineLevel="0" collapsed="false">
      <c r="A138" s="6" t="s">
        <v>95</v>
      </c>
      <c r="B138" s="8" t="n">
        <v>13.75</v>
      </c>
      <c r="C138" s="7" t="n">
        <f aca="false">((1+B138/100)^(1/12)-1)*100</f>
        <v>1.07939110821322</v>
      </c>
    </row>
    <row r="139" customFormat="false" ht="15" hidden="false" customHeight="false" outlineLevel="0" collapsed="false">
      <c r="A139" s="6" t="s">
        <v>96</v>
      </c>
      <c r="B139" s="8" t="n">
        <v>13.75</v>
      </c>
      <c r="C139" s="7" t="n">
        <f aca="false">((1+B139/100)^(1/12)-1)*100</f>
        <v>1.07939110821322</v>
      </c>
    </row>
    <row r="140" customFormat="false" ht="15" hidden="false" customHeight="false" outlineLevel="0" collapsed="false">
      <c r="A140" s="6" t="s">
        <v>973</v>
      </c>
      <c r="B140" s="8" t="n">
        <v>13.75</v>
      </c>
      <c r="C140" s="7" t="n">
        <f aca="false">((1+B140/100)^(1/12)-1)*100</f>
        <v>1.07939110821322</v>
      </c>
    </row>
    <row r="141" customFormat="false" ht="15" hidden="false" customHeight="false" outlineLevel="0" collapsed="false">
      <c r="A141" s="6" t="s">
        <v>974</v>
      </c>
      <c r="B141" s="8" t="n">
        <v>13.75</v>
      </c>
      <c r="C141" s="7" t="n">
        <f aca="false">((1+B141/100)^(1/12)-1)*100</f>
        <v>1.07939110821322</v>
      </c>
    </row>
    <row r="142" customFormat="false" ht="15" hidden="false" customHeight="false" outlineLevel="0" collapsed="false">
      <c r="A142" s="6" t="s">
        <v>97</v>
      </c>
      <c r="B142" s="8" t="n">
        <v>13.75</v>
      </c>
      <c r="C142" s="7" t="n">
        <f aca="false">((1+B142/100)^(1/12)-1)*100</f>
        <v>1.07939110821322</v>
      </c>
    </row>
    <row r="143" customFormat="false" ht="15" hidden="false" customHeight="false" outlineLevel="0" collapsed="false">
      <c r="A143" s="6" t="s">
        <v>98</v>
      </c>
      <c r="B143" s="8" t="n">
        <v>13.75</v>
      </c>
      <c r="C143" s="7" t="n">
        <f aca="false">((1+B143/100)^(1/12)-1)*100</f>
        <v>1.07939110821322</v>
      </c>
    </row>
    <row r="144" customFormat="false" ht="15" hidden="false" customHeight="false" outlineLevel="0" collapsed="false">
      <c r="A144" s="6" t="s">
        <v>99</v>
      </c>
      <c r="B144" s="8" t="n">
        <v>13.75</v>
      </c>
      <c r="C144" s="7" t="n">
        <f aca="false">((1+B144/100)^(1/12)-1)*100</f>
        <v>1.07939110821322</v>
      </c>
    </row>
    <row r="145" customFormat="false" ht="15" hidden="false" customHeight="false" outlineLevel="0" collapsed="false">
      <c r="A145" s="6" t="s">
        <v>100</v>
      </c>
      <c r="B145" s="8" t="n">
        <v>13.75</v>
      </c>
      <c r="C145" s="7" t="n">
        <f aca="false">((1+B145/100)^(1/12)-1)*100</f>
        <v>1.07939110821322</v>
      </c>
    </row>
    <row r="146" customFormat="false" ht="15" hidden="false" customHeight="false" outlineLevel="0" collapsed="false">
      <c r="A146" s="6" t="s">
        <v>101</v>
      </c>
      <c r="B146" s="8" t="n">
        <v>13.75</v>
      </c>
      <c r="C146" s="7" t="n">
        <f aca="false">((1+B146/100)^(1/12)-1)*100</f>
        <v>1.07939110821322</v>
      </c>
    </row>
    <row r="147" customFormat="false" ht="15" hidden="false" customHeight="false" outlineLevel="0" collapsed="false">
      <c r="A147" s="6" t="s">
        <v>975</v>
      </c>
      <c r="B147" s="8" t="n">
        <v>13.75</v>
      </c>
      <c r="C147" s="7" t="n">
        <f aca="false">((1+B147/100)^(1/12)-1)*100</f>
        <v>1.07939110821322</v>
      </c>
    </row>
    <row r="148" customFormat="false" ht="15" hidden="false" customHeight="false" outlineLevel="0" collapsed="false">
      <c r="A148" s="6" t="s">
        <v>976</v>
      </c>
      <c r="B148" s="8" t="n">
        <v>13.75</v>
      </c>
      <c r="C148" s="7" t="n">
        <f aca="false">((1+B148/100)^(1/12)-1)*100</f>
        <v>1.07939110821322</v>
      </c>
    </row>
    <row r="149" customFormat="false" ht="15" hidden="false" customHeight="false" outlineLevel="0" collapsed="false">
      <c r="A149" s="6" t="s">
        <v>102</v>
      </c>
      <c r="B149" s="8" t="n">
        <v>13.75</v>
      </c>
      <c r="C149" s="7" t="n">
        <f aca="false">((1+B149/100)^(1/12)-1)*100</f>
        <v>1.07939110821322</v>
      </c>
    </row>
    <row r="150" customFormat="false" ht="15" hidden="false" customHeight="false" outlineLevel="0" collapsed="false">
      <c r="A150" s="6" t="s">
        <v>103</v>
      </c>
      <c r="B150" s="8" t="n">
        <v>13.75</v>
      </c>
      <c r="C150" s="7" t="n">
        <f aca="false">((1+B150/100)^(1/12)-1)*100</f>
        <v>1.07939110821322</v>
      </c>
    </row>
    <row r="151" customFormat="false" ht="15" hidden="false" customHeight="false" outlineLevel="0" collapsed="false">
      <c r="A151" s="6" t="s">
        <v>104</v>
      </c>
      <c r="B151" s="8" t="n">
        <v>13.75</v>
      </c>
      <c r="C151" s="7" t="n">
        <f aca="false">((1+B151/100)^(1/12)-1)*100</f>
        <v>1.07939110821322</v>
      </c>
    </row>
    <row r="152" customFormat="false" ht="15" hidden="false" customHeight="false" outlineLevel="0" collapsed="false">
      <c r="A152" s="6" t="s">
        <v>105</v>
      </c>
      <c r="B152" s="8" t="n">
        <v>13.75</v>
      </c>
      <c r="C152" s="7" t="n">
        <f aca="false">((1+B152/100)^(1/12)-1)*100</f>
        <v>1.07939110821322</v>
      </c>
    </row>
    <row r="153" customFormat="false" ht="15" hidden="false" customHeight="false" outlineLevel="0" collapsed="false">
      <c r="A153" s="6" t="s">
        <v>106</v>
      </c>
      <c r="B153" s="8" t="n">
        <v>13.75</v>
      </c>
      <c r="C153" s="7" t="n">
        <f aca="false">((1+B153/100)^(1/12)-1)*100</f>
        <v>1.07939110821322</v>
      </c>
    </row>
    <row r="154" customFormat="false" ht="15" hidden="false" customHeight="false" outlineLevel="0" collapsed="false">
      <c r="A154" s="6" t="s">
        <v>977</v>
      </c>
      <c r="B154" s="8" t="n">
        <v>13.75</v>
      </c>
      <c r="C154" s="7" t="n">
        <f aca="false">((1+B154/100)^(1/12)-1)*100</f>
        <v>1.07939110821322</v>
      </c>
    </row>
    <row r="155" customFormat="false" ht="15" hidden="false" customHeight="false" outlineLevel="0" collapsed="false">
      <c r="A155" s="6" t="s">
        <v>978</v>
      </c>
      <c r="B155" s="8" t="n">
        <v>13.75</v>
      </c>
      <c r="C155" s="7" t="n">
        <f aca="false">((1+B155/100)^(1/12)-1)*100</f>
        <v>1.07939110821322</v>
      </c>
    </row>
    <row r="156" customFormat="false" ht="15" hidden="false" customHeight="false" outlineLevel="0" collapsed="false">
      <c r="A156" s="6" t="s">
        <v>107</v>
      </c>
      <c r="B156" s="8" t="n">
        <v>13.75</v>
      </c>
      <c r="C156" s="7" t="n">
        <f aca="false">((1+B156/100)^(1/12)-1)*100</f>
        <v>1.07939110821322</v>
      </c>
    </row>
    <row r="157" customFormat="false" ht="15" hidden="false" customHeight="false" outlineLevel="0" collapsed="false">
      <c r="A157" s="6" t="s">
        <v>108</v>
      </c>
      <c r="B157" s="8" t="n">
        <v>13.75</v>
      </c>
      <c r="C157" s="7" t="n">
        <f aca="false">((1+B157/100)^(1/12)-1)*100</f>
        <v>1.07939110821322</v>
      </c>
    </row>
    <row r="158" customFormat="false" ht="15" hidden="false" customHeight="false" outlineLevel="0" collapsed="false">
      <c r="A158" s="6" t="s">
        <v>109</v>
      </c>
      <c r="B158" s="8" t="n">
        <v>13.75</v>
      </c>
      <c r="C158" s="7" t="n">
        <f aca="false">((1+B158/100)^(1/12)-1)*100</f>
        <v>1.07939110821322</v>
      </c>
    </row>
    <row r="159" customFormat="false" ht="15" hidden="false" customHeight="false" outlineLevel="0" collapsed="false">
      <c r="A159" s="6" t="s">
        <v>110</v>
      </c>
      <c r="B159" s="8" t="n">
        <v>13.75</v>
      </c>
      <c r="C159" s="7" t="n">
        <f aca="false">((1+B159/100)^(1/12)-1)*100</f>
        <v>1.07939110821322</v>
      </c>
    </row>
    <row r="160" customFormat="false" ht="15" hidden="false" customHeight="false" outlineLevel="0" collapsed="false">
      <c r="A160" s="6" t="s">
        <v>111</v>
      </c>
      <c r="B160" s="8" t="n">
        <v>13.75</v>
      </c>
      <c r="C160" s="7" t="n">
        <f aca="false">((1+B160/100)^(1/12)-1)*100</f>
        <v>1.07939110821322</v>
      </c>
    </row>
    <row r="161" customFormat="false" ht="15" hidden="false" customHeight="false" outlineLevel="0" collapsed="false">
      <c r="A161" s="6" t="s">
        <v>979</v>
      </c>
      <c r="B161" s="8" t="n">
        <v>13.75</v>
      </c>
      <c r="C161" s="7" t="n">
        <f aca="false">((1+B161/100)^(1/12)-1)*100</f>
        <v>1.07939110821322</v>
      </c>
    </row>
    <row r="162" customFormat="false" ht="15" hidden="false" customHeight="false" outlineLevel="0" collapsed="false">
      <c r="A162" s="6" t="s">
        <v>980</v>
      </c>
      <c r="B162" s="8" t="n">
        <v>13.75</v>
      </c>
      <c r="C162" s="7" t="n">
        <f aca="false">((1+B162/100)^(1/12)-1)*100</f>
        <v>1.07939110821322</v>
      </c>
    </row>
    <row r="163" customFormat="false" ht="15" hidden="false" customHeight="false" outlineLevel="0" collapsed="false">
      <c r="A163" s="6" t="s">
        <v>112</v>
      </c>
      <c r="B163" s="8" t="n">
        <v>13.75</v>
      </c>
      <c r="C163" s="7" t="n">
        <f aca="false">((1+B163/100)^(1/12)-1)*100</f>
        <v>1.07939110821322</v>
      </c>
    </row>
    <row r="164" customFormat="false" ht="15" hidden="false" customHeight="false" outlineLevel="0" collapsed="false">
      <c r="A164" s="6" t="s">
        <v>113</v>
      </c>
      <c r="B164" s="8" t="n">
        <v>13.75</v>
      </c>
      <c r="C164" s="7" t="n">
        <f aca="false">((1+B164/100)^(1/12)-1)*100</f>
        <v>1.07939110821322</v>
      </c>
    </row>
    <row r="165" customFormat="false" ht="15" hidden="false" customHeight="false" outlineLevel="0" collapsed="false">
      <c r="A165" s="6" t="s">
        <v>114</v>
      </c>
      <c r="B165" s="8" t="n">
        <v>13.75</v>
      </c>
      <c r="C165" s="7" t="n">
        <f aca="false">((1+B165/100)^(1/12)-1)*100</f>
        <v>1.07939110821322</v>
      </c>
    </row>
    <row r="166" customFormat="false" ht="15" hidden="false" customHeight="false" outlineLevel="0" collapsed="false">
      <c r="A166" s="6" t="s">
        <v>981</v>
      </c>
      <c r="B166" s="8" t="n">
        <v>13.75</v>
      </c>
      <c r="C166" s="7" t="n">
        <f aca="false">((1+B166/100)^(1/12)-1)*100</f>
        <v>1.07939110821322</v>
      </c>
    </row>
    <row r="167" customFormat="false" ht="15" hidden="false" customHeight="false" outlineLevel="0" collapsed="false">
      <c r="A167" s="6" t="s">
        <v>115</v>
      </c>
      <c r="B167" s="8" t="n">
        <v>13.75</v>
      </c>
      <c r="C167" s="7" t="n">
        <f aca="false">((1+B167/100)^(1/12)-1)*100</f>
        <v>1.07939110821322</v>
      </c>
    </row>
    <row r="168" customFormat="false" ht="15" hidden="false" customHeight="false" outlineLevel="0" collapsed="false">
      <c r="A168" s="6" t="s">
        <v>982</v>
      </c>
      <c r="B168" s="8" t="n">
        <v>13.75</v>
      </c>
      <c r="C168" s="7" t="n">
        <f aca="false">((1+B168/100)^(1/12)-1)*100</f>
        <v>1.07939110821322</v>
      </c>
    </row>
    <row r="169" customFormat="false" ht="15" hidden="false" customHeight="false" outlineLevel="0" collapsed="false">
      <c r="A169" s="6" t="s">
        <v>983</v>
      </c>
      <c r="B169" s="8" t="n">
        <v>13.75</v>
      </c>
      <c r="C169" s="7" t="n">
        <f aca="false">((1+B169/100)^(1/12)-1)*100</f>
        <v>1.07939110821322</v>
      </c>
    </row>
    <row r="170" customFormat="false" ht="15" hidden="false" customHeight="false" outlineLevel="0" collapsed="false">
      <c r="A170" s="6" t="s">
        <v>116</v>
      </c>
      <c r="B170" s="8" t="n">
        <v>13.75</v>
      </c>
      <c r="C170" s="7" t="n">
        <f aca="false">((1+B170/100)^(1/12)-1)*100</f>
        <v>1.07939110821322</v>
      </c>
    </row>
    <row r="171" customFormat="false" ht="15" hidden="false" customHeight="false" outlineLevel="0" collapsed="false">
      <c r="A171" s="6" t="s">
        <v>117</v>
      </c>
      <c r="B171" s="8" t="n">
        <v>13.75</v>
      </c>
      <c r="C171" s="7" t="n">
        <f aca="false">((1+B171/100)^(1/12)-1)*100</f>
        <v>1.07939110821322</v>
      </c>
    </row>
    <row r="172" customFormat="false" ht="15" hidden="false" customHeight="false" outlineLevel="0" collapsed="false">
      <c r="A172" s="6" t="s">
        <v>118</v>
      </c>
      <c r="B172" s="8" t="n">
        <v>13.75</v>
      </c>
      <c r="C172" s="7" t="n">
        <f aca="false">((1+B172/100)^(1/12)-1)*100</f>
        <v>1.07939110821322</v>
      </c>
    </row>
    <row r="173" customFormat="false" ht="15" hidden="false" customHeight="false" outlineLevel="0" collapsed="false">
      <c r="A173" s="6" t="s">
        <v>119</v>
      </c>
      <c r="B173" s="8" t="n">
        <v>13.75</v>
      </c>
      <c r="C173" s="7" t="n">
        <f aca="false">((1+B173/100)^(1/12)-1)*100</f>
        <v>1.07939110821322</v>
      </c>
    </row>
    <row r="174" customFormat="false" ht="15" hidden="false" customHeight="false" outlineLevel="0" collapsed="false">
      <c r="A174" s="6" t="s">
        <v>120</v>
      </c>
      <c r="B174" s="8" t="n">
        <v>13.75</v>
      </c>
      <c r="C174" s="7" t="n">
        <f aca="false">((1+B174/100)^(1/12)-1)*100</f>
        <v>1.07939110821322</v>
      </c>
    </row>
    <row r="175" customFormat="false" ht="15" hidden="false" customHeight="false" outlineLevel="0" collapsed="false">
      <c r="A175" s="6" t="s">
        <v>984</v>
      </c>
      <c r="B175" s="8" t="n">
        <v>13.75</v>
      </c>
      <c r="C175" s="7" t="n">
        <f aca="false">((1+B175/100)^(1/12)-1)*100</f>
        <v>1.07939110821322</v>
      </c>
    </row>
    <row r="176" customFormat="false" ht="15" hidden="false" customHeight="false" outlineLevel="0" collapsed="false">
      <c r="A176" s="6" t="s">
        <v>985</v>
      </c>
      <c r="B176" s="8" t="n">
        <v>13.75</v>
      </c>
      <c r="C176" s="7" t="n">
        <f aca="false">((1+B176/100)^(1/12)-1)*100</f>
        <v>1.07939110821322</v>
      </c>
    </row>
    <row r="177" customFormat="false" ht="15" hidden="false" customHeight="false" outlineLevel="0" collapsed="false">
      <c r="A177" s="6" t="s">
        <v>121</v>
      </c>
      <c r="B177" s="8" t="n">
        <v>13.75</v>
      </c>
      <c r="C177" s="7" t="n">
        <f aca="false">((1+B177/100)^(1/12)-1)*100</f>
        <v>1.07939110821322</v>
      </c>
    </row>
    <row r="178" customFormat="false" ht="15" hidden="false" customHeight="false" outlineLevel="0" collapsed="false">
      <c r="A178" s="6" t="s">
        <v>122</v>
      </c>
      <c r="B178" s="8" t="n">
        <v>13.75</v>
      </c>
      <c r="C178" s="7" t="n">
        <f aca="false">((1+B178/100)^(1/12)-1)*100</f>
        <v>1.07939110821322</v>
      </c>
    </row>
    <row r="179" customFormat="false" ht="15" hidden="false" customHeight="false" outlineLevel="0" collapsed="false">
      <c r="A179" s="6" t="s">
        <v>123</v>
      </c>
      <c r="B179" s="8" t="n">
        <v>13.75</v>
      </c>
      <c r="C179" s="7" t="n">
        <f aca="false">((1+B179/100)^(1/12)-1)*100</f>
        <v>1.07939110821322</v>
      </c>
    </row>
    <row r="180" customFormat="false" ht="15" hidden="false" customHeight="false" outlineLevel="0" collapsed="false">
      <c r="A180" s="6" t="s">
        <v>124</v>
      </c>
      <c r="B180" s="8" t="n">
        <v>13.75</v>
      </c>
      <c r="C180" s="7" t="n">
        <f aca="false">((1+B180/100)^(1/12)-1)*100</f>
        <v>1.07939110821322</v>
      </c>
    </row>
    <row r="181" customFormat="false" ht="15" hidden="false" customHeight="false" outlineLevel="0" collapsed="false">
      <c r="A181" s="6" t="s">
        <v>125</v>
      </c>
      <c r="B181" s="8" t="n">
        <v>13.75</v>
      </c>
      <c r="C181" s="7" t="n">
        <f aca="false">((1+B181/100)^(1/12)-1)*100</f>
        <v>1.07939110821322</v>
      </c>
    </row>
    <row r="182" customFormat="false" ht="15" hidden="false" customHeight="false" outlineLevel="0" collapsed="false">
      <c r="A182" s="6" t="s">
        <v>986</v>
      </c>
      <c r="B182" s="8" t="n">
        <v>13.75</v>
      </c>
      <c r="C182" s="7" t="n">
        <f aca="false">((1+B182/100)^(1/12)-1)*100</f>
        <v>1.07939110821322</v>
      </c>
    </row>
    <row r="183" customFormat="false" ht="15" hidden="false" customHeight="false" outlineLevel="0" collapsed="false">
      <c r="A183" s="6" t="s">
        <v>987</v>
      </c>
      <c r="B183" s="8" t="n">
        <v>13.75</v>
      </c>
      <c r="C183" s="7" t="n">
        <f aca="false">((1+B183/100)^(1/12)-1)*100</f>
        <v>1.07939110821322</v>
      </c>
    </row>
    <row r="184" customFormat="false" ht="15" hidden="false" customHeight="false" outlineLevel="0" collapsed="false">
      <c r="A184" s="6" t="s">
        <v>126</v>
      </c>
      <c r="B184" s="8" t="n">
        <v>13.75</v>
      </c>
      <c r="C184" s="7" t="n">
        <f aca="false">((1+B184/100)^(1/12)-1)*100</f>
        <v>1.07939110821322</v>
      </c>
    </row>
    <row r="185" customFormat="false" ht="15" hidden="false" customHeight="false" outlineLevel="0" collapsed="false">
      <c r="A185" s="6" t="s">
        <v>127</v>
      </c>
      <c r="B185" s="8" t="n">
        <v>13.75</v>
      </c>
      <c r="C185" s="7" t="n">
        <f aca="false">((1+B185/100)^(1/12)-1)*100</f>
        <v>1.07939110821322</v>
      </c>
    </row>
    <row r="186" customFormat="false" ht="15" hidden="false" customHeight="false" outlineLevel="0" collapsed="false">
      <c r="A186" s="6" t="s">
        <v>128</v>
      </c>
      <c r="B186" s="8" t="n">
        <v>13.75</v>
      </c>
      <c r="C186" s="7" t="n">
        <f aca="false">((1+B186/100)^(1/12)-1)*100</f>
        <v>1.07939110821322</v>
      </c>
    </row>
    <row r="187" customFormat="false" ht="15" hidden="false" customHeight="false" outlineLevel="0" collapsed="false">
      <c r="A187" s="6" t="s">
        <v>129</v>
      </c>
      <c r="B187" s="8" t="n">
        <v>13.75</v>
      </c>
      <c r="C187" s="7" t="n">
        <f aca="false">((1+B187/100)^(1/12)-1)*100</f>
        <v>1.07939110821322</v>
      </c>
    </row>
    <row r="188" customFormat="false" ht="15" hidden="false" customHeight="false" outlineLevel="0" collapsed="false">
      <c r="A188" s="6" t="s">
        <v>130</v>
      </c>
      <c r="B188" s="8" t="n">
        <v>13.75</v>
      </c>
      <c r="C188" s="7" t="n">
        <f aca="false">((1+B188/100)^(1/12)-1)*100</f>
        <v>1.07939110821322</v>
      </c>
    </row>
    <row r="189" customFormat="false" ht="15" hidden="false" customHeight="false" outlineLevel="0" collapsed="false">
      <c r="A189" s="6" t="s">
        <v>988</v>
      </c>
      <c r="B189" s="8" t="n">
        <v>13.75</v>
      </c>
      <c r="C189" s="7" t="n">
        <f aca="false">((1+B189/100)^(1/12)-1)*100</f>
        <v>1.07939110821322</v>
      </c>
    </row>
    <row r="190" customFormat="false" ht="15" hidden="false" customHeight="false" outlineLevel="0" collapsed="false">
      <c r="A190" s="6" t="s">
        <v>989</v>
      </c>
      <c r="B190" s="8" t="n">
        <v>13.75</v>
      </c>
      <c r="C190" s="7" t="n">
        <f aca="false">((1+B190/100)^(1/12)-1)*100</f>
        <v>1.07939110821322</v>
      </c>
    </row>
    <row r="191" customFormat="false" ht="15" hidden="false" customHeight="false" outlineLevel="0" collapsed="false">
      <c r="A191" s="6" t="s">
        <v>131</v>
      </c>
      <c r="B191" s="8" t="n">
        <v>13.75</v>
      </c>
      <c r="C191" s="7" t="n">
        <f aca="false">((1+B191/100)^(1/12)-1)*100</f>
        <v>1.07939110821322</v>
      </c>
    </row>
    <row r="192" customFormat="false" ht="15" hidden="false" customHeight="false" outlineLevel="0" collapsed="false">
      <c r="A192" s="6" t="s">
        <v>132</v>
      </c>
      <c r="B192" s="8" t="n">
        <v>13.75</v>
      </c>
      <c r="C192" s="7" t="n">
        <f aca="false">((1+B192/100)^(1/12)-1)*100</f>
        <v>1.07939110821322</v>
      </c>
    </row>
    <row r="193" customFormat="false" ht="15" hidden="false" customHeight="false" outlineLevel="0" collapsed="false">
      <c r="A193" s="6" t="s">
        <v>133</v>
      </c>
      <c r="B193" s="8" t="n">
        <v>13.75</v>
      </c>
      <c r="C193" s="7" t="n">
        <f aca="false">((1+B193/100)^(1/12)-1)*100</f>
        <v>1.07939110821322</v>
      </c>
    </row>
    <row r="194" customFormat="false" ht="15" hidden="false" customHeight="false" outlineLevel="0" collapsed="false">
      <c r="A194" s="6" t="s">
        <v>134</v>
      </c>
      <c r="B194" s="8" t="n">
        <v>13.75</v>
      </c>
      <c r="C194" s="7" t="n">
        <f aca="false">((1+B194/100)^(1/12)-1)*100</f>
        <v>1.07939110821322</v>
      </c>
    </row>
    <row r="195" customFormat="false" ht="15" hidden="false" customHeight="false" outlineLevel="0" collapsed="false">
      <c r="A195" s="6" t="s">
        <v>135</v>
      </c>
      <c r="B195" s="8" t="n">
        <v>13.75</v>
      </c>
      <c r="C195" s="7" t="n">
        <f aca="false">((1+B195/100)^(1/12)-1)*100</f>
        <v>1.07939110821322</v>
      </c>
    </row>
    <row r="196" customFormat="false" ht="15" hidden="false" customHeight="false" outlineLevel="0" collapsed="false">
      <c r="A196" s="6" t="s">
        <v>990</v>
      </c>
      <c r="B196" s="8" t="n">
        <v>13.75</v>
      </c>
      <c r="C196" s="7" t="n">
        <f aca="false">((1+B196/100)^(1/12)-1)*100</f>
        <v>1.07939110821322</v>
      </c>
    </row>
    <row r="197" customFormat="false" ht="15" hidden="false" customHeight="false" outlineLevel="0" collapsed="false">
      <c r="A197" s="6" t="s">
        <v>991</v>
      </c>
      <c r="B197" s="8" t="n">
        <v>13.75</v>
      </c>
      <c r="C197" s="7" t="n">
        <f aca="false">((1+B197/100)^(1/12)-1)*100</f>
        <v>1.07939110821322</v>
      </c>
    </row>
    <row r="198" customFormat="false" ht="15" hidden="false" customHeight="false" outlineLevel="0" collapsed="false">
      <c r="A198" s="6" t="s">
        <v>136</v>
      </c>
      <c r="B198" s="8" t="n">
        <v>13.75</v>
      </c>
      <c r="C198" s="7" t="n">
        <f aca="false">((1+B198/100)^(1/12)-1)*100</f>
        <v>1.07939110821322</v>
      </c>
    </row>
    <row r="199" customFormat="false" ht="15" hidden="false" customHeight="false" outlineLevel="0" collapsed="false">
      <c r="A199" s="6" t="s">
        <v>137</v>
      </c>
      <c r="B199" s="8" t="n">
        <v>13.75</v>
      </c>
      <c r="C199" s="7" t="n">
        <f aca="false">((1+B199/100)^(1/12)-1)*100</f>
        <v>1.07939110821322</v>
      </c>
    </row>
    <row r="200" customFormat="false" ht="15" hidden="false" customHeight="false" outlineLevel="0" collapsed="false">
      <c r="A200" s="6" t="s">
        <v>138</v>
      </c>
      <c r="B200" s="8" t="n">
        <v>13.75</v>
      </c>
      <c r="C200" s="7" t="n">
        <f aca="false">((1+B200/100)^(1/12)-1)*100</f>
        <v>1.07939110821322</v>
      </c>
    </row>
    <row r="201" customFormat="false" ht="15" hidden="false" customHeight="false" outlineLevel="0" collapsed="false">
      <c r="A201" s="6" t="s">
        <v>139</v>
      </c>
      <c r="B201" s="8" t="n">
        <v>13.75</v>
      </c>
      <c r="C201" s="7" t="n">
        <f aca="false">((1+B201/100)^(1/12)-1)*100</f>
        <v>1.07939110821322</v>
      </c>
    </row>
    <row r="202" customFormat="false" ht="15" hidden="false" customHeight="false" outlineLevel="0" collapsed="false">
      <c r="A202" s="6" t="s">
        <v>140</v>
      </c>
      <c r="B202" s="8" t="n">
        <v>13.75</v>
      </c>
      <c r="C202" s="7" t="n">
        <f aca="false">((1+B202/100)^(1/12)-1)*100</f>
        <v>1.07939110821322</v>
      </c>
    </row>
    <row r="203" customFormat="false" ht="15" hidden="false" customHeight="false" outlineLevel="0" collapsed="false">
      <c r="A203" s="6" t="s">
        <v>992</v>
      </c>
      <c r="B203" s="8" t="n">
        <v>13.75</v>
      </c>
      <c r="C203" s="7" t="n">
        <f aca="false">((1+B203/100)^(1/12)-1)*100</f>
        <v>1.07939110821322</v>
      </c>
    </row>
    <row r="204" customFormat="false" ht="15" hidden="false" customHeight="false" outlineLevel="0" collapsed="false">
      <c r="A204" s="6" t="s">
        <v>993</v>
      </c>
      <c r="B204" s="8" t="n">
        <v>13.75</v>
      </c>
      <c r="C204" s="7" t="n">
        <f aca="false">((1+B204/100)^(1/12)-1)*100</f>
        <v>1.07939110821322</v>
      </c>
    </row>
    <row r="205" customFormat="false" ht="15" hidden="false" customHeight="false" outlineLevel="0" collapsed="false">
      <c r="A205" s="6" t="s">
        <v>141</v>
      </c>
      <c r="B205" s="8" t="n">
        <v>13.75</v>
      </c>
      <c r="C205" s="7" t="n">
        <f aca="false">((1+B205/100)^(1/12)-1)*100</f>
        <v>1.07939110821322</v>
      </c>
    </row>
    <row r="206" customFormat="false" ht="15" hidden="false" customHeight="false" outlineLevel="0" collapsed="false">
      <c r="A206" s="6" t="s">
        <v>142</v>
      </c>
      <c r="B206" s="8" t="n">
        <v>13.75</v>
      </c>
      <c r="C206" s="7" t="n">
        <f aca="false">((1+B206/100)^(1/12)-1)*100</f>
        <v>1.07939110821322</v>
      </c>
    </row>
    <row r="207" customFormat="false" ht="15" hidden="false" customHeight="false" outlineLevel="0" collapsed="false">
      <c r="A207" s="6" t="s">
        <v>143</v>
      </c>
      <c r="B207" s="8" t="n">
        <v>13.75</v>
      </c>
      <c r="C207" s="7" t="n">
        <f aca="false">((1+B207/100)^(1/12)-1)*100</f>
        <v>1.07939110821322</v>
      </c>
    </row>
    <row r="208" customFormat="false" ht="15" hidden="false" customHeight="false" outlineLevel="0" collapsed="false">
      <c r="A208" s="6" t="s">
        <v>144</v>
      </c>
      <c r="B208" s="8" t="n">
        <v>13.75</v>
      </c>
      <c r="C208" s="7" t="n">
        <f aca="false">((1+B208/100)^(1/12)-1)*100</f>
        <v>1.07939110821322</v>
      </c>
    </row>
    <row r="209" customFormat="false" ht="15" hidden="false" customHeight="false" outlineLevel="0" collapsed="false">
      <c r="A209" s="6" t="s">
        <v>145</v>
      </c>
      <c r="B209" s="8" t="n">
        <v>13.75</v>
      </c>
      <c r="C209" s="7" t="n">
        <f aca="false">((1+B209/100)^(1/12)-1)*100</f>
        <v>1.07939110821322</v>
      </c>
    </row>
    <row r="210" customFormat="false" ht="15" hidden="false" customHeight="false" outlineLevel="0" collapsed="false">
      <c r="A210" s="6" t="s">
        <v>994</v>
      </c>
      <c r="B210" s="8" t="n">
        <v>13.75</v>
      </c>
      <c r="C210" s="7" t="n">
        <f aca="false">((1+B210/100)^(1/12)-1)*100</f>
        <v>1.07939110821322</v>
      </c>
    </row>
    <row r="211" customFormat="false" ht="15" hidden="false" customHeight="false" outlineLevel="0" collapsed="false">
      <c r="A211" s="6" t="s">
        <v>995</v>
      </c>
      <c r="B211" s="8" t="n">
        <v>13.75</v>
      </c>
      <c r="C211" s="7" t="n">
        <f aca="false">((1+B211/100)^(1/12)-1)*100</f>
        <v>1.07939110821322</v>
      </c>
    </row>
    <row r="212" customFormat="false" ht="15" hidden="false" customHeight="false" outlineLevel="0" collapsed="false">
      <c r="A212" s="6" t="s">
        <v>146</v>
      </c>
      <c r="B212" s="8" t="n">
        <v>13.75</v>
      </c>
      <c r="C212" s="7" t="n">
        <f aca="false">((1+B212/100)^(1/12)-1)*100</f>
        <v>1.07939110821322</v>
      </c>
    </row>
    <row r="213" customFormat="false" ht="15" hidden="false" customHeight="false" outlineLevel="0" collapsed="false">
      <c r="A213" s="6" t="s">
        <v>147</v>
      </c>
      <c r="B213" s="8" t="n">
        <v>13.75</v>
      </c>
      <c r="C213" s="7" t="n">
        <f aca="false">((1+B213/100)^(1/12)-1)*100</f>
        <v>1.07939110821322</v>
      </c>
    </row>
    <row r="214" customFormat="false" ht="15" hidden="false" customHeight="false" outlineLevel="0" collapsed="false">
      <c r="A214" s="6" t="s">
        <v>148</v>
      </c>
      <c r="B214" s="8" t="n">
        <v>13.75</v>
      </c>
      <c r="C214" s="7" t="n">
        <f aca="false">((1+B214/100)^(1/12)-1)*100</f>
        <v>1.07939110821322</v>
      </c>
    </row>
    <row r="215" customFormat="false" ht="15" hidden="false" customHeight="false" outlineLevel="0" collapsed="false">
      <c r="A215" s="6" t="s">
        <v>149</v>
      </c>
      <c r="B215" s="8" t="n">
        <v>13.75</v>
      </c>
      <c r="C215" s="7" t="n">
        <f aca="false">((1+B215/100)^(1/12)-1)*100</f>
        <v>1.07939110821322</v>
      </c>
    </row>
    <row r="216" customFormat="false" ht="15" hidden="false" customHeight="false" outlineLevel="0" collapsed="false">
      <c r="A216" s="6" t="s">
        <v>150</v>
      </c>
      <c r="B216" s="8" t="n">
        <v>13.75</v>
      </c>
      <c r="C216" s="7" t="n">
        <f aca="false">((1+B216/100)^(1/12)-1)*100</f>
        <v>1.07939110821322</v>
      </c>
    </row>
    <row r="217" customFormat="false" ht="15" hidden="false" customHeight="false" outlineLevel="0" collapsed="false">
      <c r="A217" s="6" t="s">
        <v>996</v>
      </c>
      <c r="B217" s="8" t="n">
        <v>13.75</v>
      </c>
      <c r="C217" s="7" t="n">
        <f aca="false">((1+B217/100)^(1/12)-1)*100</f>
        <v>1.07939110821322</v>
      </c>
    </row>
    <row r="218" customFormat="false" ht="15" hidden="false" customHeight="false" outlineLevel="0" collapsed="false">
      <c r="A218" s="6" t="s">
        <v>997</v>
      </c>
      <c r="B218" s="8" t="n">
        <v>13.75</v>
      </c>
      <c r="C218" s="7" t="n">
        <f aca="false">((1+B218/100)^(1/12)-1)*100</f>
        <v>1.07939110821322</v>
      </c>
    </row>
    <row r="219" customFormat="false" ht="15" hidden="false" customHeight="false" outlineLevel="0" collapsed="false">
      <c r="A219" s="6" t="s">
        <v>151</v>
      </c>
      <c r="B219" s="8" t="n">
        <v>13.75</v>
      </c>
      <c r="C219" s="7" t="n">
        <f aca="false">((1+B219/100)^(1/12)-1)*100</f>
        <v>1.07939110821322</v>
      </c>
    </row>
    <row r="220" customFormat="false" ht="15" hidden="false" customHeight="false" outlineLevel="0" collapsed="false">
      <c r="A220" s="6" t="s">
        <v>152</v>
      </c>
      <c r="B220" s="8" t="n">
        <v>13.75</v>
      </c>
      <c r="C220" s="7" t="n">
        <f aca="false">((1+B220/100)^(1/12)-1)*100</f>
        <v>1.07939110821322</v>
      </c>
    </row>
    <row r="221" customFormat="false" ht="15" hidden="false" customHeight="false" outlineLevel="0" collapsed="false">
      <c r="A221" s="6" t="s">
        <v>153</v>
      </c>
      <c r="B221" s="8" t="n">
        <v>13.75</v>
      </c>
      <c r="C221" s="7" t="n">
        <f aca="false">((1+B221/100)^(1/12)-1)*100</f>
        <v>1.07939110821322</v>
      </c>
    </row>
    <row r="222" customFormat="false" ht="15" hidden="false" customHeight="false" outlineLevel="0" collapsed="false">
      <c r="A222" s="6" t="s">
        <v>154</v>
      </c>
      <c r="B222" s="8" t="n">
        <v>13.25</v>
      </c>
      <c r="C222" s="7" t="n">
        <f aca="false">((1+B222/100)^(1/12)-1)*100</f>
        <v>1.04229088673753</v>
      </c>
    </row>
    <row r="223" customFormat="false" ht="15" hidden="false" customHeight="false" outlineLevel="0" collapsed="false">
      <c r="A223" s="6" t="s">
        <v>155</v>
      </c>
      <c r="B223" s="8" t="n">
        <v>13.25</v>
      </c>
      <c r="C223" s="7" t="n">
        <f aca="false">((1+B223/100)^(1/12)-1)*100</f>
        <v>1.04229088673753</v>
      </c>
    </row>
    <row r="224" customFormat="false" ht="15" hidden="false" customHeight="false" outlineLevel="0" collapsed="false">
      <c r="A224" s="6" t="s">
        <v>998</v>
      </c>
      <c r="B224" s="8" t="n">
        <v>13.25</v>
      </c>
      <c r="C224" s="7" t="n">
        <f aca="false">((1+B224/100)^(1/12)-1)*100</f>
        <v>1.04229088673753</v>
      </c>
    </row>
    <row r="225" customFormat="false" ht="15" hidden="false" customHeight="false" outlineLevel="0" collapsed="false">
      <c r="A225" s="6" t="s">
        <v>999</v>
      </c>
      <c r="B225" s="8" t="n">
        <v>13.25</v>
      </c>
      <c r="C225" s="7" t="n">
        <f aca="false">((1+B225/100)^(1/12)-1)*100</f>
        <v>1.04229088673753</v>
      </c>
    </row>
    <row r="226" customFormat="false" ht="15" hidden="false" customHeight="false" outlineLevel="0" collapsed="false">
      <c r="A226" s="6" t="s">
        <v>156</v>
      </c>
      <c r="B226" s="8" t="n">
        <v>13.25</v>
      </c>
      <c r="C226" s="7" t="n">
        <f aca="false">((1+B226/100)^(1/12)-1)*100</f>
        <v>1.04229088673753</v>
      </c>
    </row>
    <row r="227" customFormat="false" ht="15" hidden="false" customHeight="false" outlineLevel="0" collapsed="false">
      <c r="A227" s="6" t="s">
        <v>157</v>
      </c>
      <c r="B227" s="8" t="n">
        <v>13.25</v>
      </c>
      <c r="C227" s="7" t="n">
        <f aca="false">((1+B227/100)^(1/12)-1)*100</f>
        <v>1.04229088673753</v>
      </c>
    </row>
    <row r="228" customFormat="false" ht="15" hidden="false" customHeight="false" outlineLevel="0" collapsed="false">
      <c r="A228" s="6" t="s">
        <v>158</v>
      </c>
      <c r="B228" s="8" t="n">
        <v>13.25</v>
      </c>
      <c r="C228" s="7" t="n">
        <f aca="false">((1+B228/100)^(1/12)-1)*100</f>
        <v>1.04229088673753</v>
      </c>
    </row>
    <row r="229" customFormat="false" ht="15" hidden="false" customHeight="false" outlineLevel="0" collapsed="false">
      <c r="A229" s="6" t="s">
        <v>159</v>
      </c>
      <c r="B229" s="8" t="n">
        <v>13.25</v>
      </c>
      <c r="C229" s="7" t="n">
        <f aca="false">((1+B229/100)^(1/12)-1)*100</f>
        <v>1.04229088673753</v>
      </c>
    </row>
    <row r="230" customFormat="false" ht="15" hidden="false" customHeight="false" outlineLevel="0" collapsed="false">
      <c r="A230" s="6" t="s">
        <v>160</v>
      </c>
      <c r="B230" s="8" t="n">
        <v>13.25</v>
      </c>
      <c r="C230" s="7" t="n">
        <f aca="false">((1+B230/100)^(1/12)-1)*100</f>
        <v>1.04229088673753</v>
      </c>
    </row>
    <row r="231" customFormat="false" ht="15" hidden="false" customHeight="false" outlineLevel="0" collapsed="false">
      <c r="A231" s="6" t="s">
        <v>1000</v>
      </c>
      <c r="B231" s="8" t="n">
        <v>13.25</v>
      </c>
      <c r="C231" s="7" t="n">
        <f aca="false">((1+B231/100)^(1/12)-1)*100</f>
        <v>1.04229088673753</v>
      </c>
    </row>
    <row r="232" customFormat="false" ht="15" hidden="false" customHeight="false" outlineLevel="0" collapsed="false">
      <c r="A232" s="6" t="s">
        <v>1001</v>
      </c>
      <c r="B232" s="8" t="n">
        <v>13.25</v>
      </c>
      <c r="C232" s="7" t="n">
        <f aca="false">((1+B232/100)^(1/12)-1)*100</f>
        <v>1.04229088673753</v>
      </c>
    </row>
    <row r="233" customFormat="false" ht="15" hidden="false" customHeight="false" outlineLevel="0" collapsed="false">
      <c r="A233" s="6" t="s">
        <v>161</v>
      </c>
      <c r="B233" s="8" t="n">
        <v>13.25</v>
      </c>
      <c r="C233" s="7" t="n">
        <f aca="false">((1+B233/100)^(1/12)-1)*100</f>
        <v>1.04229088673753</v>
      </c>
    </row>
    <row r="234" customFormat="false" ht="15" hidden="false" customHeight="false" outlineLevel="0" collapsed="false">
      <c r="A234" s="6" t="s">
        <v>162</v>
      </c>
      <c r="B234" s="8" t="n">
        <v>13.25</v>
      </c>
      <c r="C234" s="7" t="n">
        <f aca="false">((1+B234/100)^(1/12)-1)*100</f>
        <v>1.04229088673753</v>
      </c>
    </row>
    <row r="235" customFormat="false" ht="15" hidden="false" customHeight="false" outlineLevel="0" collapsed="false">
      <c r="A235" s="6" t="s">
        <v>163</v>
      </c>
      <c r="B235" s="8" t="n">
        <v>13.25</v>
      </c>
      <c r="C235" s="7" t="n">
        <f aca="false">((1+B235/100)^(1/12)-1)*100</f>
        <v>1.04229088673753</v>
      </c>
    </row>
    <row r="236" customFormat="false" ht="15" hidden="false" customHeight="false" outlineLevel="0" collapsed="false">
      <c r="A236" s="6" t="s">
        <v>164</v>
      </c>
      <c r="B236" s="8" t="n">
        <v>13.25</v>
      </c>
      <c r="C236" s="7" t="n">
        <f aca="false">((1+B236/100)^(1/12)-1)*100</f>
        <v>1.04229088673753</v>
      </c>
    </row>
    <row r="237" customFormat="false" ht="15" hidden="false" customHeight="false" outlineLevel="0" collapsed="false">
      <c r="A237" s="6" t="s">
        <v>165</v>
      </c>
      <c r="B237" s="8" t="n">
        <v>13.25</v>
      </c>
      <c r="C237" s="7" t="n">
        <f aca="false">((1+B237/100)^(1/12)-1)*100</f>
        <v>1.04229088673753</v>
      </c>
    </row>
    <row r="238" customFormat="false" ht="15" hidden="false" customHeight="false" outlineLevel="0" collapsed="false">
      <c r="A238" s="6" t="s">
        <v>1002</v>
      </c>
      <c r="B238" s="8" t="n">
        <v>13.25</v>
      </c>
      <c r="C238" s="7" t="n">
        <f aca="false">((1+B238/100)^(1/12)-1)*100</f>
        <v>1.04229088673753</v>
      </c>
    </row>
    <row r="239" customFormat="false" ht="15" hidden="false" customHeight="false" outlineLevel="0" collapsed="false">
      <c r="A239" s="6" t="s">
        <v>1003</v>
      </c>
      <c r="B239" s="8" t="n">
        <v>13.25</v>
      </c>
      <c r="C239" s="7" t="n">
        <f aca="false">((1+B239/100)^(1/12)-1)*100</f>
        <v>1.04229088673753</v>
      </c>
    </row>
    <row r="240" customFormat="false" ht="15" hidden="false" customHeight="false" outlineLevel="0" collapsed="false">
      <c r="A240" s="6" t="s">
        <v>166</v>
      </c>
      <c r="B240" s="8" t="n">
        <v>13.25</v>
      </c>
      <c r="C240" s="7" t="n">
        <f aca="false">((1+B240/100)^(1/12)-1)*100</f>
        <v>1.04229088673753</v>
      </c>
    </row>
    <row r="241" customFormat="false" ht="15" hidden="false" customHeight="false" outlineLevel="0" collapsed="false">
      <c r="A241" s="6" t="s">
        <v>167</v>
      </c>
      <c r="B241" s="8" t="n">
        <v>13.25</v>
      </c>
      <c r="C241" s="7" t="n">
        <f aca="false">((1+B241/100)^(1/12)-1)*100</f>
        <v>1.04229088673753</v>
      </c>
    </row>
    <row r="242" customFormat="false" ht="15" hidden="false" customHeight="false" outlineLevel="0" collapsed="false">
      <c r="A242" s="6" t="s">
        <v>168</v>
      </c>
      <c r="B242" s="8" t="n">
        <v>13.25</v>
      </c>
      <c r="C242" s="7" t="n">
        <f aca="false">((1+B242/100)^(1/12)-1)*100</f>
        <v>1.04229088673753</v>
      </c>
    </row>
    <row r="243" customFormat="false" ht="15" hidden="false" customHeight="false" outlineLevel="0" collapsed="false">
      <c r="A243" s="6" t="s">
        <v>169</v>
      </c>
      <c r="B243" s="8" t="n">
        <v>13.25</v>
      </c>
      <c r="C243" s="7" t="n">
        <f aca="false">((1+B243/100)^(1/12)-1)*100</f>
        <v>1.04229088673753</v>
      </c>
    </row>
    <row r="244" customFormat="false" ht="15" hidden="false" customHeight="false" outlineLevel="0" collapsed="false">
      <c r="A244" s="6" t="s">
        <v>170</v>
      </c>
      <c r="B244" s="8" t="n">
        <v>13.25</v>
      </c>
      <c r="C244" s="7" t="n">
        <f aca="false">((1+B244/100)^(1/12)-1)*100</f>
        <v>1.04229088673753</v>
      </c>
    </row>
    <row r="245" customFormat="false" ht="15" hidden="false" customHeight="false" outlineLevel="0" collapsed="false">
      <c r="A245" s="6" t="s">
        <v>1004</v>
      </c>
      <c r="B245" s="8" t="n">
        <v>13.25</v>
      </c>
      <c r="C245" s="7" t="n">
        <f aca="false">((1+B245/100)^(1/12)-1)*100</f>
        <v>1.04229088673753</v>
      </c>
    </row>
    <row r="246" customFormat="false" ht="15" hidden="false" customHeight="false" outlineLevel="0" collapsed="false">
      <c r="A246" s="6" t="s">
        <v>1005</v>
      </c>
      <c r="B246" s="8" t="n">
        <v>13.25</v>
      </c>
      <c r="C246" s="7" t="n">
        <f aca="false">((1+B246/100)^(1/12)-1)*100</f>
        <v>1.04229088673753</v>
      </c>
    </row>
    <row r="247" customFormat="false" ht="15" hidden="false" customHeight="false" outlineLevel="0" collapsed="false">
      <c r="A247" s="6" t="s">
        <v>171</v>
      </c>
      <c r="B247" s="8" t="n">
        <v>13.25</v>
      </c>
      <c r="C247" s="7" t="n">
        <f aca="false">((1+B247/100)^(1/12)-1)*100</f>
        <v>1.04229088673753</v>
      </c>
    </row>
    <row r="248" customFormat="false" ht="15" hidden="false" customHeight="false" outlineLevel="0" collapsed="false">
      <c r="A248" s="6" t="s">
        <v>172</v>
      </c>
      <c r="B248" s="8" t="n">
        <v>13.25</v>
      </c>
      <c r="C248" s="7" t="n">
        <f aca="false">((1+B248/100)^(1/12)-1)*100</f>
        <v>1.04229088673753</v>
      </c>
    </row>
    <row r="249" customFormat="false" ht="15" hidden="false" customHeight="false" outlineLevel="0" collapsed="false">
      <c r="A249" s="6" t="s">
        <v>173</v>
      </c>
      <c r="B249" s="8" t="n">
        <v>13.25</v>
      </c>
      <c r="C249" s="7" t="n">
        <f aca="false">((1+B249/100)^(1/12)-1)*100</f>
        <v>1.04229088673753</v>
      </c>
    </row>
    <row r="250" customFormat="false" ht="15" hidden="false" customHeight="false" outlineLevel="0" collapsed="false">
      <c r="A250" s="6" t="s">
        <v>174</v>
      </c>
      <c r="B250" s="8" t="n">
        <v>13.25</v>
      </c>
      <c r="C250" s="7" t="n">
        <f aca="false">((1+B250/100)^(1/12)-1)*100</f>
        <v>1.04229088673753</v>
      </c>
    </row>
    <row r="251" customFormat="false" ht="15" hidden="false" customHeight="false" outlineLevel="0" collapsed="false">
      <c r="A251" s="6" t="s">
        <v>175</v>
      </c>
      <c r="B251" s="8" t="n">
        <v>13.25</v>
      </c>
      <c r="C251" s="7" t="n">
        <f aca="false">((1+B251/100)^(1/12)-1)*100</f>
        <v>1.04229088673753</v>
      </c>
    </row>
    <row r="252" customFormat="false" ht="15" hidden="false" customHeight="false" outlineLevel="0" collapsed="false">
      <c r="A252" s="6" t="s">
        <v>1006</v>
      </c>
      <c r="B252" s="8" t="n">
        <v>13.25</v>
      </c>
      <c r="C252" s="7" t="n">
        <f aca="false">((1+B252/100)^(1/12)-1)*100</f>
        <v>1.04229088673753</v>
      </c>
    </row>
    <row r="253" customFormat="false" ht="15" hidden="false" customHeight="false" outlineLevel="0" collapsed="false">
      <c r="A253" s="6" t="s">
        <v>1007</v>
      </c>
      <c r="B253" s="8" t="n">
        <v>13.25</v>
      </c>
      <c r="C253" s="7" t="n">
        <f aca="false">((1+B253/100)^(1/12)-1)*100</f>
        <v>1.04229088673753</v>
      </c>
    </row>
    <row r="254" customFormat="false" ht="15" hidden="false" customHeight="false" outlineLevel="0" collapsed="false">
      <c r="A254" s="6" t="s">
        <v>176</v>
      </c>
      <c r="B254" s="8" t="n">
        <v>13.25</v>
      </c>
      <c r="C254" s="7" t="n">
        <f aca="false">((1+B254/100)^(1/12)-1)*100</f>
        <v>1.04229088673753</v>
      </c>
    </row>
    <row r="255" customFormat="false" ht="15" hidden="false" customHeight="false" outlineLevel="0" collapsed="false">
      <c r="A255" s="6" t="s">
        <v>177</v>
      </c>
      <c r="B255" s="8" t="n">
        <v>13.25</v>
      </c>
      <c r="C255" s="7" t="n">
        <f aca="false">((1+B255/100)^(1/12)-1)*100</f>
        <v>1.04229088673753</v>
      </c>
    </row>
    <row r="256" customFormat="false" ht="15" hidden="false" customHeight="false" outlineLevel="0" collapsed="false">
      <c r="A256" s="6" t="s">
        <v>178</v>
      </c>
      <c r="B256" s="8" t="n">
        <v>13.25</v>
      </c>
      <c r="C256" s="7" t="n">
        <f aca="false">((1+B256/100)^(1/12)-1)*100</f>
        <v>1.04229088673753</v>
      </c>
    </row>
    <row r="257" customFormat="false" ht="15" hidden="false" customHeight="false" outlineLevel="0" collapsed="false">
      <c r="A257" s="6" t="s">
        <v>1008</v>
      </c>
      <c r="B257" s="8" t="n">
        <v>13.25</v>
      </c>
      <c r="C257" s="7" t="n">
        <f aca="false">((1+B257/100)^(1/12)-1)*100</f>
        <v>1.04229088673753</v>
      </c>
    </row>
    <row r="258" customFormat="false" ht="15" hidden="false" customHeight="false" outlineLevel="0" collapsed="false">
      <c r="A258" s="6" t="s">
        <v>179</v>
      </c>
      <c r="B258" s="8" t="n">
        <v>13.25</v>
      </c>
      <c r="C258" s="7" t="n">
        <f aca="false">((1+B258/100)^(1/12)-1)*100</f>
        <v>1.04229088673753</v>
      </c>
    </row>
    <row r="259" customFormat="false" ht="15" hidden="false" customHeight="false" outlineLevel="0" collapsed="false">
      <c r="A259" s="6" t="s">
        <v>1009</v>
      </c>
      <c r="B259" s="8" t="n">
        <v>13.25</v>
      </c>
      <c r="C259" s="7" t="n">
        <f aca="false">((1+B259/100)^(1/12)-1)*100</f>
        <v>1.04229088673753</v>
      </c>
    </row>
    <row r="260" customFormat="false" ht="15" hidden="false" customHeight="false" outlineLevel="0" collapsed="false">
      <c r="A260" s="6" t="s">
        <v>1010</v>
      </c>
      <c r="B260" s="8" t="n">
        <v>13.25</v>
      </c>
      <c r="C260" s="7" t="n">
        <f aca="false">((1+B260/100)^(1/12)-1)*100</f>
        <v>1.04229088673753</v>
      </c>
    </row>
    <row r="261" customFormat="false" ht="15" hidden="false" customHeight="false" outlineLevel="0" collapsed="false">
      <c r="A261" s="6" t="s">
        <v>180</v>
      </c>
      <c r="B261" s="8" t="n">
        <v>13.25</v>
      </c>
      <c r="C261" s="7" t="n">
        <f aca="false">((1+B261/100)^(1/12)-1)*100</f>
        <v>1.04229088673753</v>
      </c>
    </row>
    <row r="262" customFormat="false" ht="15" hidden="false" customHeight="false" outlineLevel="0" collapsed="false">
      <c r="A262" s="6" t="s">
        <v>181</v>
      </c>
      <c r="B262" s="8" t="n">
        <v>13.25</v>
      </c>
      <c r="C262" s="7" t="n">
        <f aca="false">((1+B262/100)^(1/12)-1)*100</f>
        <v>1.04229088673753</v>
      </c>
    </row>
    <row r="263" customFormat="false" ht="15" hidden="false" customHeight="false" outlineLevel="0" collapsed="false">
      <c r="A263" s="6" t="s">
        <v>182</v>
      </c>
      <c r="B263" s="8" t="n">
        <v>13.25</v>
      </c>
      <c r="C263" s="7" t="n">
        <f aca="false">((1+B263/100)^(1/12)-1)*100</f>
        <v>1.04229088673753</v>
      </c>
    </row>
    <row r="264" customFormat="false" ht="15" hidden="false" customHeight="false" outlineLevel="0" collapsed="false">
      <c r="A264" s="6" t="s">
        <v>183</v>
      </c>
      <c r="B264" s="8" t="n">
        <v>13.25</v>
      </c>
      <c r="C264" s="7" t="n">
        <f aca="false">((1+B264/100)^(1/12)-1)*100</f>
        <v>1.04229088673753</v>
      </c>
    </row>
    <row r="265" customFormat="false" ht="15" hidden="false" customHeight="false" outlineLevel="0" collapsed="false">
      <c r="A265" s="6" t="s">
        <v>184</v>
      </c>
      <c r="B265" s="8" t="n">
        <v>13.25</v>
      </c>
      <c r="C265" s="7" t="n">
        <f aca="false">((1+B265/100)^(1/12)-1)*100</f>
        <v>1.04229088673753</v>
      </c>
    </row>
    <row r="266" customFormat="false" ht="15" hidden="false" customHeight="false" outlineLevel="0" collapsed="false">
      <c r="A266" s="6" t="s">
        <v>1011</v>
      </c>
      <c r="B266" s="8" t="n">
        <v>13.25</v>
      </c>
      <c r="C266" s="7" t="n">
        <f aca="false">((1+B266/100)^(1/12)-1)*100</f>
        <v>1.04229088673753</v>
      </c>
    </row>
    <row r="267" customFormat="false" ht="15" hidden="false" customHeight="false" outlineLevel="0" collapsed="false">
      <c r="A267" s="6" t="s">
        <v>1012</v>
      </c>
      <c r="B267" s="8" t="n">
        <v>13.25</v>
      </c>
      <c r="C267" s="7" t="n">
        <f aca="false">((1+B267/100)^(1/12)-1)*100</f>
        <v>1.04229088673753</v>
      </c>
    </row>
    <row r="268" customFormat="false" ht="15" hidden="false" customHeight="false" outlineLevel="0" collapsed="false">
      <c r="A268" s="6" t="s">
        <v>185</v>
      </c>
      <c r="B268" s="8" t="n">
        <v>13.25</v>
      </c>
      <c r="C268" s="7" t="n">
        <f aca="false">((1+B268/100)^(1/12)-1)*100</f>
        <v>1.04229088673753</v>
      </c>
    </row>
    <row r="269" customFormat="false" ht="15" hidden="false" customHeight="false" outlineLevel="0" collapsed="false">
      <c r="A269" s="6" t="s">
        <v>186</v>
      </c>
      <c r="B269" s="8" t="n">
        <v>13.25</v>
      </c>
      <c r="C269" s="7" t="n">
        <f aca="false">((1+B269/100)^(1/12)-1)*100</f>
        <v>1.04229088673753</v>
      </c>
    </row>
    <row r="270" customFormat="false" ht="15" hidden="false" customHeight="false" outlineLevel="0" collapsed="false">
      <c r="A270" s="6" t="s">
        <v>187</v>
      </c>
      <c r="B270" s="8" t="n">
        <v>13.25</v>
      </c>
      <c r="C270" s="7" t="n">
        <f aca="false">((1+B270/100)^(1/12)-1)*100</f>
        <v>1.04229088673753</v>
      </c>
    </row>
    <row r="271" customFormat="false" ht="15" hidden="false" customHeight="false" outlineLevel="0" collapsed="false">
      <c r="A271" s="6" t="s">
        <v>188</v>
      </c>
      <c r="B271" s="8" t="n">
        <v>12.75</v>
      </c>
      <c r="C271" s="7" t="n">
        <f aca="false">((1+B271/100)^(1/12)-1)*100</f>
        <v>1.00504021224228</v>
      </c>
    </row>
    <row r="272" customFormat="false" ht="15" hidden="false" customHeight="false" outlineLevel="0" collapsed="false">
      <c r="A272" s="6" t="s">
        <v>189</v>
      </c>
      <c r="B272" s="8" t="n">
        <v>12.75</v>
      </c>
      <c r="C272" s="7" t="n">
        <f aca="false">((1+B272/100)^(1/12)-1)*100</f>
        <v>1.00504021224228</v>
      </c>
    </row>
    <row r="273" customFormat="false" ht="15" hidden="false" customHeight="false" outlineLevel="0" collapsed="false">
      <c r="A273" s="6" t="s">
        <v>1013</v>
      </c>
      <c r="B273" s="8" t="n">
        <v>12.75</v>
      </c>
      <c r="C273" s="7" t="n">
        <f aca="false">((1+B273/100)^(1/12)-1)*100</f>
        <v>1.00504021224228</v>
      </c>
    </row>
    <row r="274" customFormat="false" ht="15" hidden="false" customHeight="false" outlineLevel="0" collapsed="false">
      <c r="A274" s="6" t="s">
        <v>1014</v>
      </c>
      <c r="B274" s="8" t="n">
        <v>12.75</v>
      </c>
      <c r="C274" s="7" t="n">
        <f aca="false">((1+B274/100)^(1/12)-1)*100</f>
        <v>1.00504021224228</v>
      </c>
    </row>
    <row r="275" customFormat="false" ht="15" hidden="false" customHeight="false" outlineLevel="0" collapsed="false">
      <c r="A275" s="6" t="s">
        <v>190</v>
      </c>
      <c r="B275" s="8" t="n">
        <v>12.75</v>
      </c>
      <c r="C275" s="7" t="n">
        <f aca="false">((1+B275/100)^(1/12)-1)*100</f>
        <v>1.00504021224228</v>
      </c>
    </row>
    <row r="276" customFormat="false" ht="15" hidden="false" customHeight="false" outlineLevel="0" collapsed="false">
      <c r="A276" s="6" t="s">
        <v>191</v>
      </c>
      <c r="B276" s="8" t="n">
        <v>12.75</v>
      </c>
      <c r="C276" s="7" t="n">
        <f aca="false">((1+B276/100)^(1/12)-1)*100</f>
        <v>1.00504021224228</v>
      </c>
    </row>
    <row r="277" customFormat="false" ht="15" hidden="false" customHeight="false" outlineLevel="0" collapsed="false">
      <c r="A277" s="6" t="s">
        <v>192</v>
      </c>
      <c r="B277" s="8" t="n">
        <v>12.75</v>
      </c>
      <c r="C277" s="7" t="n">
        <f aca="false">((1+B277/100)^(1/12)-1)*100</f>
        <v>1.00504021224228</v>
      </c>
    </row>
    <row r="278" customFormat="false" ht="15" hidden="false" customHeight="false" outlineLevel="0" collapsed="false">
      <c r="A278" s="6" t="s">
        <v>193</v>
      </c>
      <c r="B278" s="8" t="n">
        <v>12.75</v>
      </c>
      <c r="C278" s="7" t="n">
        <f aca="false">((1+B278/100)^(1/12)-1)*100</f>
        <v>1.00504021224228</v>
      </c>
    </row>
    <row r="279" customFormat="false" ht="15" hidden="false" customHeight="false" outlineLevel="0" collapsed="false">
      <c r="A279" s="6" t="s">
        <v>194</v>
      </c>
      <c r="B279" s="8" t="n">
        <v>12.75</v>
      </c>
      <c r="C279" s="7" t="n">
        <f aca="false">((1+B279/100)^(1/12)-1)*100</f>
        <v>1.00504021224228</v>
      </c>
    </row>
    <row r="280" customFormat="false" ht="15" hidden="false" customHeight="false" outlineLevel="0" collapsed="false">
      <c r="A280" s="6" t="s">
        <v>1015</v>
      </c>
      <c r="B280" s="8" t="n">
        <v>12.75</v>
      </c>
      <c r="C280" s="7" t="n">
        <f aca="false">((1+B280/100)^(1/12)-1)*100</f>
        <v>1.00504021224228</v>
      </c>
    </row>
    <row r="281" customFormat="false" ht="15" hidden="false" customHeight="false" outlineLevel="0" collapsed="false">
      <c r="A281" s="6" t="s">
        <v>1016</v>
      </c>
      <c r="B281" s="8" t="n">
        <v>12.75</v>
      </c>
      <c r="C281" s="7" t="n">
        <f aca="false">((1+B281/100)^(1/12)-1)*100</f>
        <v>1.00504021224228</v>
      </c>
    </row>
    <row r="282" customFormat="false" ht="15" hidden="false" customHeight="false" outlineLevel="0" collapsed="false">
      <c r="A282" s="6" t="s">
        <v>195</v>
      </c>
      <c r="B282" s="8" t="n">
        <v>12.75</v>
      </c>
      <c r="C282" s="7" t="n">
        <f aca="false">((1+B282/100)^(1/12)-1)*100</f>
        <v>1.00504021224228</v>
      </c>
    </row>
    <row r="283" customFormat="false" ht="15" hidden="false" customHeight="false" outlineLevel="0" collapsed="false">
      <c r="A283" s="6" t="s">
        <v>196</v>
      </c>
      <c r="B283" s="8" t="n">
        <v>12.75</v>
      </c>
      <c r="C283" s="7" t="n">
        <f aca="false">((1+B283/100)^(1/12)-1)*100</f>
        <v>1.00504021224228</v>
      </c>
    </row>
    <row r="284" customFormat="false" ht="15" hidden="false" customHeight="false" outlineLevel="0" collapsed="false">
      <c r="A284" s="6" t="s">
        <v>197</v>
      </c>
      <c r="B284" s="8" t="n">
        <v>12.75</v>
      </c>
      <c r="C284" s="7" t="n">
        <f aca="false">((1+B284/100)^(1/12)-1)*100</f>
        <v>1.00504021224228</v>
      </c>
    </row>
    <row r="285" customFormat="false" ht="15" hidden="false" customHeight="false" outlineLevel="0" collapsed="false">
      <c r="A285" s="6" t="s">
        <v>198</v>
      </c>
      <c r="B285" s="8" t="n">
        <v>12.75</v>
      </c>
      <c r="C285" s="7" t="n">
        <f aca="false">((1+B285/100)^(1/12)-1)*100</f>
        <v>1.00504021224228</v>
      </c>
    </row>
    <row r="286" customFormat="false" ht="15" hidden="false" customHeight="false" outlineLevel="0" collapsed="false">
      <c r="A286" s="6" t="s">
        <v>199</v>
      </c>
      <c r="B286" s="8" t="n">
        <v>12.75</v>
      </c>
      <c r="C286" s="7" t="n">
        <f aca="false">((1+B286/100)^(1/12)-1)*100</f>
        <v>1.00504021224228</v>
      </c>
    </row>
    <row r="287" customFormat="false" ht="15" hidden="false" customHeight="false" outlineLevel="0" collapsed="false">
      <c r="A287" s="6" t="s">
        <v>1017</v>
      </c>
      <c r="B287" s="8" t="n">
        <v>12.75</v>
      </c>
      <c r="C287" s="7" t="n">
        <f aca="false">((1+B287/100)^(1/12)-1)*100</f>
        <v>1.00504021224228</v>
      </c>
    </row>
    <row r="288" customFormat="false" ht="15" hidden="false" customHeight="false" outlineLevel="0" collapsed="false">
      <c r="A288" s="6" t="s">
        <v>1018</v>
      </c>
      <c r="B288" s="8" t="n">
        <v>12.75</v>
      </c>
      <c r="C288" s="7" t="n">
        <f aca="false">((1+B288/100)^(1/12)-1)*100</f>
        <v>1.00504021224228</v>
      </c>
    </row>
    <row r="289" customFormat="false" ht="15" hidden="false" customHeight="false" outlineLevel="0" collapsed="false">
      <c r="A289" s="6" t="s">
        <v>200</v>
      </c>
      <c r="B289" s="8" t="n">
        <v>12.75</v>
      </c>
      <c r="C289" s="7" t="n">
        <f aca="false">((1+B289/100)^(1/12)-1)*100</f>
        <v>1.00504021224228</v>
      </c>
    </row>
    <row r="290" customFormat="false" ht="15" hidden="false" customHeight="false" outlineLevel="0" collapsed="false">
      <c r="A290" s="6" t="s">
        <v>201</v>
      </c>
      <c r="B290" s="8" t="n">
        <v>12.75</v>
      </c>
      <c r="C290" s="7" t="n">
        <f aca="false">((1+B290/100)^(1/12)-1)*100</f>
        <v>1.00504021224228</v>
      </c>
    </row>
    <row r="291" customFormat="false" ht="15" hidden="false" customHeight="false" outlineLevel="0" collapsed="false">
      <c r="A291" s="6" t="s">
        <v>202</v>
      </c>
      <c r="B291" s="8" t="n">
        <v>12.75</v>
      </c>
      <c r="C291" s="7" t="n">
        <f aca="false">((1+B291/100)^(1/12)-1)*100</f>
        <v>1.00504021224228</v>
      </c>
    </row>
    <row r="292" customFormat="false" ht="15" hidden="false" customHeight="false" outlineLevel="0" collapsed="false">
      <c r="A292" s="6" t="s">
        <v>1019</v>
      </c>
      <c r="B292" s="8" t="n">
        <v>12.75</v>
      </c>
      <c r="C292" s="7" t="n">
        <f aca="false">((1+B292/100)^(1/12)-1)*100</f>
        <v>1.00504021224228</v>
      </c>
    </row>
    <row r="293" customFormat="false" ht="15" hidden="false" customHeight="false" outlineLevel="0" collapsed="false">
      <c r="A293" s="6" t="s">
        <v>203</v>
      </c>
      <c r="B293" s="8" t="n">
        <v>12.75</v>
      </c>
      <c r="C293" s="7" t="n">
        <f aca="false">((1+B293/100)^(1/12)-1)*100</f>
        <v>1.00504021224228</v>
      </c>
    </row>
    <row r="294" customFormat="false" ht="15" hidden="false" customHeight="false" outlineLevel="0" collapsed="false">
      <c r="A294" s="6" t="s">
        <v>1020</v>
      </c>
      <c r="B294" s="8" t="n">
        <v>12.75</v>
      </c>
      <c r="C294" s="7" t="n">
        <f aca="false">((1+B294/100)^(1/12)-1)*100</f>
        <v>1.00504021224228</v>
      </c>
    </row>
    <row r="295" customFormat="false" ht="15" hidden="false" customHeight="false" outlineLevel="0" collapsed="false">
      <c r="A295" s="6" t="s">
        <v>1021</v>
      </c>
      <c r="B295" s="8" t="n">
        <v>12.75</v>
      </c>
      <c r="C295" s="7" t="n">
        <f aca="false">((1+B295/100)^(1/12)-1)*100</f>
        <v>1.00504021224228</v>
      </c>
    </row>
    <row r="296" customFormat="false" ht="15" hidden="false" customHeight="false" outlineLevel="0" collapsed="false">
      <c r="A296" s="6" t="s">
        <v>204</v>
      </c>
      <c r="B296" s="8" t="n">
        <v>12.75</v>
      </c>
      <c r="C296" s="7" t="n">
        <f aca="false">((1+B296/100)^(1/12)-1)*100</f>
        <v>1.00504021224228</v>
      </c>
    </row>
    <row r="297" customFormat="false" ht="15" hidden="false" customHeight="false" outlineLevel="0" collapsed="false">
      <c r="A297" s="6" t="s">
        <v>205</v>
      </c>
      <c r="B297" s="8" t="n">
        <v>12.75</v>
      </c>
      <c r="C297" s="7" t="n">
        <f aca="false">((1+B297/100)^(1/12)-1)*100</f>
        <v>1.00504021224228</v>
      </c>
    </row>
    <row r="298" customFormat="false" ht="15" hidden="false" customHeight="false" outlineLevel="0" collapsed="false">
      <c r="A298" s="6" t="s">
        <v>206</v>
      </c>
      <c r="B298" s="8" t="n">
        <v>12.75</v>
      </c>
      <c r="C298" s="7" t="n">
        <f aca="false">((1+B298/100)^(1/12)-1)*100</f>
        <v>1.00504021224228</v>
      </c>
    </row>
    <row r="299" customFormat="false" ht="15" hidden="false" customHeight="false" outlineLevel="0" collapsed="false">
      <c r="A299" s="6" t="s">
        <v>207</v>
      </c>
      <c r="B299" s="8" t="n">
        <v>12.75</v>
      </c>
      <c r="C299" s="7" t="n">
        <f aca="false">((1+B299/100)^(1/12)-1)*100</f>
        <v>1.00504021224228</v>
      </c>
    </row>
    <row r="300" customFormat="false" ht="15" hidden="false" customHeight="false" outlineLevel="0" collapsed="false">
      <c r="A300" s="6" t="s">
        <v>208</v>
      </c>
      <c r="B300" s="8" t="n">
        <v>12.75</v>
      </c>
      <c r="C300" s="7" t="n">
        <f aca="false">((1+B300/100)^(1/12)-1)*100</f>
        <v>1.00504021224228</v>
      </c>
    </row>
    <row r="301" customFormat="false" ht="15" hidden="false" customHeight="false" outlineLevel="0" collapsed="false">
      <c r="A301" s="6" t="s">
        <v>1022</v>
      </c>
      <c r="B301" s="8" t="n">
        <v>12.75</v>
      </c>
      <c r="C301" s="7" t="n">
        <f aca="false">((1+B301/100)^(1/12)-1)*100</f>
        <v>1.00504021224228</v>
      </c>
    </row>
    <row r="302" customFormat="false" ht="15" hidden="false" customHeight="false" outlineLevel="0" collapsed="false">
      <c r="A302" s="6" t="s">
        <v>1023</v>
      </c>
      <c r="B302" s="8" t="n">
        <v>12.75</v>
      </c>
      <c r="C302" s="7" t="n">
        <f aca="false">((1+B302/100)^(1/12)-1)*100</f>
        <v>1.00504021224228</v>
      </c>
    </row>
    <row r="303" customFormat="false" ht="15" hidden="false" customHeight="false" outlineLevel="0" collapsed="false">
      <c r="A303" s="6" t="s">
        <v>209</v>
      </c>
      <c r="B303" s="8" t="n">
        <v>12.75</v>
      </c>
      <c r="C303" s="7" t="n">
        <f aca="false">((1+B303/100)^(1/12)-1)*100</f>
        <v>1.00504021224228</v>
      </c>
    </row>
    <row r="304" customFormat="false" ht="15" hidden="false" customHeight="false" outlineLevel="0" collapsed="false">
      <c r="A304" s="6" t="s">
        <v>210</v>
      </c>
      <c r="B304" s="8" t="n">
        <v>12.75</v>
      </c>
      <c r="C304" s="7" t="n">
        <f aca="false">((1+B304/100)^(1/12)-1)*100</f>
        <v>1.00504021224228</v>
      </c>
    </row>
    <row r="305" customFormat="false" ht="15" hidden="false" customHeight="false" outlineLevel="0" collapsed="false">
      <c r="A305" s="6" t="s">
        <v>211</v>
      </c>
      <c r="B305" s="8" t="n">
        <v>12.75</v>
      </c>
      <c r="C305" s="7" t="n">
        <f aca="false">((1+B305/100)^(1/12)-1)*100</f>
        <v>1.00504021224228</v>
      </c>
    </row>
    <row r="306" customFormat="false" ht="15" hidden="false" customHeight="false" outlineLevel="0" collapsed="false">
      <c r="A306" s="6" t="s">
        <v>212</v>
      </c>
      <c r="B306" s="8" t="n">
        <v>12.75</v>
      </c>
      <c r="C306" s="7" t="n">
        <f aca="false">((1+B306/100)^(1/12)-1)*100</f>
        <v>1.00504021224228</v>
      </c>
    </row>
    <row r="307" customFormat="false" ht="15" hidden="false" customHeight="false" outlineLevel="0" collapsed="false">
      <c r="A307" s="6" t="s">
        <v>213</v>
      </c>
      <c r="B307" s="8" t="n">
        <v>12.75</v>
      </c>
      <c r="C307" s="7" t="n">
        <f aca="false">((1+B307/100)^(1/12)-1)*100</f>
        <v>1.00504021224228</v>
      </c>
    </row>
    <row r="308" customFormat="false" ht="15" hidden="false" customHeight="false" outlineLevel="0" collapsed="false">
      <c r="A308" s="6" t="s">
        <v>1024</v>
      </c>
      <c r="B308" s="8" t="n">
        <v>12.75</v>
      </c>
      <c r="C308" s="7" t="n">
        <f aca="false">((1+B308/100)^(1/12)-1)*100</f>
        <v>1.00504021224228</v>
      </c>
    </row>
    <row r="309" customFormat="false" ht="15" hidden="false" customHeight="false" outlineLevel="0" collapsed="false">
      <c r="A309" s="6" t="s">
        <v>1025</v>
      </c>
      <c r="B309" s="8" t="n">
        <v>12.75</v>
      </c>
      <c r="C309" s="7" t="n">
        <f aca="false">((1+B309/100)^(1/12)-1)*100</f>
        <v>1.00504021224228</v>
      </c>
    </row>
    <row r="310" customFormat="false" ht="15" hidden="false" customHeight="false" outlineLevel="0" collapsed="false">
      <c r="A310" s="6" t="s">
        <v>214</v>
      </c>
      <c r="B310" s="8" t="n">
        <v>12.75</v>
      </c>
      <c r="C310" s="7" t="n">
        <f aca="false">((1+B310/100)^(1/12)-1)*100</f>
        <v>1.00504021224228</v>
      </c>
    </row>
    <row r="311" customFormat="false" ht="15" hidden="false" customHeight="false" outlineLevel="0" collapsed="false">
      <c r="A311" s="6" t="s">
        <v>215</v>
      </c>
      <c r="B311" s="8" t="n">
        <v>12.75</v>
      </c>
      <c r="C311" s="7" t="n">
        <f aca="false">((1+B311/100)^(1/12)-1)*100</f>
        <v>1.00504021224228</v>
      </c>
    </row>
    <row r="312" customFormat="false" ht="15" hidden="false" customHeight="false" outlineLevel="0" collapsed="false">
      <c r="A312" s="6" t="s">
        <v>216</v>
      </c>
      <c r="B312" s="8" t="n">
        <v>12.75</v>
      </c>
      <c r="C312" s="7" t="n">
        <f aca="false">((1+B312/100)^(1/12)-1)*100</f>
        <v>1.00504021224228</v>
      </c>
    </row>
    <row r="313" customFormat="false" ht="15" hidden="false" customHeight="false" outlineLevel="0" collapsed="false">
      <c r="A313" s="6" t="s">
        <v>1026</v>
      </c>
      <c r="B313" s="8" t="n">
        <v>12.25</v>
      </c>
      <c r="C313" s="7" t="n">
        <f aca="false">((1+B313/100)^(1/12)-1)*100</f>
        <v>0.967637803321342</v>
      </c>
    </row>
    <row r="314" customFormat="false" ht="15" hidden="false" customHeight="false" outlineLevel="0" collapsed="false">
      <c r="A314" s="6" t="s">
        <v>217</v>
      </c>
      <c r="B314" s="8" t="n">
        <v>12.25</v>
      </c>
      <c r="C314" s="7" t="n">
        <f aca="false">((1+B314/100)^(1/12)-1)*100</f>
        <v>0.967637803321342</v>
      </c>
    </row>
    <row r="315" customFormat="false" ht="15" hidden="false" customHeight="false" outlineLevel="0" collapsed="false">
      <c r="A315" s="6" t="s">
        <v>1027</v>
      </c>
      <c r="B315" s="8" t="n">
        <v>12.25</v>
      </c>
      <c r="C315" s="7" t="n">
        <f aca="false">((1+B315/100)^(1/12)-1)*100</f>
        <v>0.967637803321342</v>
      </c>
    </row>
    <row r="316" customFormat="false" ht="15" hidden="false" customHeight="false" outlineLevel="0" collapsed="false">
      <c r="A316" s="6" t="s">
        <v>1028</v>
      </c>
      <c r="B316" s="8" t="n">
        <v>12.25</v>
      </c>
      <c r="C316" s="7" t="n">
        <f aca="false">((1+B316/100)^(1/12)-1)*100</f>
        <v>0.967637803321342</v>
      </c>
    </row>
    <row r="317" customFormat="false" ht="15" hidden="false" customHeight="false" outlineLevel="0" collapsed="false">
      <c r="A317" s="6" t="s">
        <v>218</v>
      </c>
      <c r="B317" s="8" t="n">
        <v>12.25</v>
      </c>
      <c r="C317" s="7" t="n">
        <f aca="false">((1+B317/100)^(1/12)-1)*100</f>
        <v>0.967637803321342</v>
      </c>
    </row>
    <row r="318" customFormat="false" ht="15" hidden="false" customHeight="false" outlineLevel="0" collapsed="false">
      <c r="A318" s="6" t="s">
        <v>219</v>
      </c>
      <c r="B318" s="8" t="n">
        <v>12.25</v>
      </c>
      <c r="C318" s="7" t="n">
        <f aca="false">((1+B318/100)^(1/12)-1)*100</f>
        <v>0.967637803321342</v>
      </c>
    </row>
    <row r="319" customFormat="false" ht="15" hidden="false" customHeight="false" outlineLevel="0" collapsed="false">
      <c r="A319" s="6" t="s">
        <v>220</v>
      </c>
      <c r="B319" s="8" t="n">
        <v>12.25</v>
      </c>
      <c r="C319" s="7" t="n">
        <f aca="false">((1+B319/100)^(1/12)-1)*100</f>
        <v>0.967637803321342</v>
      </c>
    </row>
    <row r="320" customFormat="false" ht="15" hidden="false" customHeight="false" outlineLevel="0" collapsed="false">
      <c r="A320" s="6" t="s">
        <v>221</v>
      </c>
      <c r="B320" s="8" t="n">
        <v>12.25</v>
      </c>
      <c r="C320" s="7" t="n">
        <f aca="false">((1+B320/100)^(1/12)-1)*100</f>
        <v>0.967637803321342</v>
      </c>
    </row>
    <row r="321" customFormat="false" ht="15" hidden="false" customHeight="false" outlineLevel="0" collapsed="false">
      <c r="A321" s="6" t="s">
        <v>222</v>
      </c>
      <c r="B321" s="8" t="n">
        <v>12.25</v>
      </c>
      <c r="C321" s="7" t="n">
        <f aca="false">((1+B321/100)^(1/12)-1)*100</f>
        <v>0.967637803321342</v>
      </c>
    </row>
    <row r="322" customFormat="false" ht="15" hidden="false" customHeight="false" outlineLevel="0" collapsed="false">
      <c r="A322" s="6" t="s">
        <v>1029</v>
      </c>
      <c r="B322" s="8" t="n">
        <v>12.25</v>
      </c>
      <c r="C322" s="7" t="n">
        <f aca="false">((1+B322/100)^(1/12)-1)*100</f>
        <v>0.967637803321342</v>
      </c>
    </row>
    <row r="323" customFormat="false" ht="15" hidden="false" customHeight="false" outlineLevel="0" collapsed="false">
      <c r="A323" s="6" t="s">
        <v>1030</v>
      </c>
      <c r="B323" s="8" t="n">
        <v>12.25</v>
      </c>
      <c r="C323" s="7" t="n">
        <f aca="false">((1+B323/100)^(1/12)-1)*100</f>
        <v>0.967637803321342</v>
      </c>
    </row>
    <row r="324" customFormat="false" ht="15" hidden="false" customHeight="false" outlineLevel="0" collapsed="false">
      <c r="A324" s="6" t="s">
        <v>223</v>
      </c>
      <c r="B324" s="8" t="n">
        <v>12.25</v>
      </c>
      <c r="C324" s="7" t="n">
        <f aca="false">((1+B324/100)^(1/12)-1)*100</f>
        <v>0.967637803321342</v>
      </c>
    </row>
    <row r="325" customFormat="false" ht="15" hidden="false" customHeight="false" outlineLevel="0" collapsed="false">
      <c r="A325" s="6" t="s">
        <v>224</v>
      </c>
      <c r="B325" s="8" t="n">
        <v>12.25</v>
      </c>
      <c r="C325" s="7" t="n">
        <f aca="false">((1+B325/100)^(1/12)-1)*100</f>
        <v>0.967637803321342</v>
      </c>
    </row>
    <row r="326" customFormat="false" ht="15" hidden="false" customHeight="false" outlineLevel="0" collapsed="false">
      <c r="A326" s="6" t="s">
        <v>1031</v>
      </c>
      <c r="B326" s="8" t="n">
        <v>12.25</v>
      </c>
      <c r="C326" s="7" t="n">
        <f aca="false">((1+B326/100)^(1/12)-1)*100</f>
        <v>0.967637803321342</v>
      </c>
    </row>
    <row r="327" customFormat="false" ht="15" hidden="false" customHeight="false" outlineLevel="0" collapsed="false">
      <c r="A327" s="6" t="s">
        <v>225</v>
      </c>
      <c r="B327" s="8" t="n">
        <v>12.25</v>
      </c>
      <c r="C327" s="7" t="n">
        <f aca="false">((1+B327/100)^(1/12)-1)*100</f>
        <v>0.967637803321342</v>
      </c>
    </row>
    <row r="328" customFormat="false" ht="15" hidden="false" customHeight="false" outlineLevel="0" collapsed="false">
      <c r="A328" s="6" t="s">
        <v>226</v>
      </c>
      <c r="B328" s="8" t="n">
        <v>12.25</v>
      </c>
      <c r="C328" s="7" t="n">
        <f aca="false">((1+B328/100)^(1/12)-1)*100</f>
        <v>0.967637803321342</v>
      </c>
    </row>
    <row r="329" customFormat="false" ht="15" hidden="false" customHeight="false" outlineLevel="0" collapsed="false">
      <c r="A329" s="6" t="s">
        <v>1032</v>
      </c>
      <c r="B329" s="8" t="n">
        <v>12.25</v>
      </c>
      <c r="C329" s="7" t="n">
        <f aca="false">((1+B329/100)^(1/12)-1)*100</f>
        <v>0.967637803321342</v>
      </c>
    </row>
    <row r="330" customFormat="false" ht="15" hidden="false" customHeight="false" outlineLevel="0" collapsed="false">
      <c r="A330" s="6" t="s">
        <v>1033</v>
      </c>
      <c r="B330" s="8" t="n">
        <v>12.25</v>
      </c>
      <c r="C330" s="7" t="n">
        <f aca="false">((1+B330/100)^(1/12)-1)*100</f>
        <v>0.967637803321342</v>
      </c>
    </row>
    <row r="331" customFormat="false" ht="15" hidden="false" customHeight="false" outlineLevel="0" collapsed="false">
      <c r="A331" s="6" t="s">
        <v>227</v>
      </c>
      <c r="B331" s="8" t="n">
        <v>12.25</v>
      </c>
      <c r="C331" s="7" t="n">
        <f aca="false">((1+B331/100)^(1/12)-1)*100</f>
        <v>0.967637803321342</v>
      </c>
    </row>
    <row r="332" customFormat="false" ht="15" hidden="false" customHeight="false" outlineLevel="0" collapsed="false">
      <c r="A332" s="6" t="s">
        <v>228</v>
      </c>
      <c r="B332" s="8" t="n">
        <v>12.25</v>
      </c>
      <c r="C332" s="7" t="n">
        <f aca="false">((1+B332/100)^(1/12)-1)*100</f>
        <v>0.967637803321342</v>
      </c>
    </row>
    <row r="333" customFormat="false" ht="15" hidden="false" customHeight="false" outlineLevel="0" collapsed="false">
      <c r="A333" s="6" t="s">
        <v>229</v>
      </c>
      <c r="B333" s="8" t="n">
        <v>12.25</v>
      </c>
      <c r="C333" s="7" t="n">
        <f aca="false">((1+B333/100)^(1/12)-1)*100</f>
        <v>0.967637803321342</v>
      </c>
    </row>
    <row r="334" customFormat="false" ht="15" hidden="false" customHeight="false" outlineLevel="0" collapsed="false">
      <c r="A334" s="6" t="s">
        <v>230</v>
      </c>
      <c r="B334" s="8" t="n">
        <v>12.25</v>
      </c>
      <c r="C334" s="7" t="n">
        <f aca="false">((1+B334/100)^(1/12)-1)*100</f>
        <v>0.967637803321342</v>
      </c>
    </row>
    <row r="335" customFormat="false" ht="15" hidden="false" customHeight="false" outlineLevel="0" collapsed="false">
      <c r="A335" s="6" t="s">
        <v>231</v>
      </c>
      <c r="B335" s="8" t="n">
        <v>12.25</v>
      </c>
      <c r="C335" s="7" t="n">
        <f aca="false">((1+B335/100)^(1/12)-1)*100</f>
        <v>0.967637803321342</v>
      </c>
    </row>
    <row r="336" customFormat="false" ht="15" hidden="false" customHeight="false" outlineLevel="0" collapsed="false">
      <c r="A336" s="6" t="s">
        <v>1034</v>
      </c>
      <c r="B336" s="8" t="n">
        <v>12.25</v>
      </c>
      <c r="C336" s="7" t="n">
        <f aca="false">((1+B336/100)^(1/12)-1)*100</f>
        <v>0.967637803321342</v>
      </c>
    </row>
    <row r="337" customFormat="false" ht="15" hidden="false" customHeight="false" outlineLevel="0" collapsed="false">
      <c r="A337" s="6" t="s">
        <v>1035</v>
      </c>
      <c r="B337" s="8" t="n">
        <v>12.25</v>
      </c>
      <c r="C337" s="7" t="n">
        <f aca="false">((1+B337/100)^(1/12)-1)*100</f>
        <v>0.967637803321342</v>
      </c>
    </row>
    <row r="338" customFormat="false" ht="15" hidden="false" customHeight="false" outlineLevel="0" collapsed="false">
      <c r="A338" s="6" t="s">
        <v>232</v>
      </c>
      <c r="B338" s="8" t="n">
        <v>12.25</v>
      </c>
      <c r="C338" s="7" t="n">
        <f aca="false">((1+B338/100)^(1/12)-1)*100</f>
        <v>0.967637803321342</v>
      </c>
    </row>
    <row r="339" customFormat="false" ht="15" hidden="false" customHeight="false" outlineLevel="0" collapsed="false">
      <c r="A339" s="6" t="s">
        <v>233</v>
      </c>
      <c r="B339" s="8" t="n">
        <v>12.25</v>
      </c>
      <c r="C339" s="7" t="n">
        <f aca="false">((1+B339/100)^(1/12)-1)*100</f>
        <v>0.967637803321342</v>
      </c>
    </row>
    <row r="340" customFormat="false" ht="15" hidden="false" customHeight="false" outlineLevel="0" collapsed="false">
      <c r="A340" s="6" t="s">
        <v>234</v>
      </c>
      <c r="B340" s="8" t="n">
        <v>12.25</v>
      </c>
      <c r="C340" s="7" t="n">
        <f aca="false">((1+B340/100)^(1/12)-1)*100</f>
        <v>0.967637803321342</v>
      </c>
    </row>
    <row r="341" customFormat="false" ht="15" hidden="false" customHeight="false" outlineLevel="0" collapsed="false">
      <c r="A341" s="6" t="s">
        <v>235</v>
      </c>
      <c r="B341" s="8" t="n">
        <v>12.25</v>
      </c>
      <c r="C341" s="7" t="n">
        <f aca="false">((1+B341/100)^(1/12)-1)*100</f>
        <v>0.967637803321342</v>
      </c>
    </row>
    <row r="342" customFormat="false" ht="15" hidden="false" customHeight="false" outlineLevel="0" collapsed="false">
      <c r="A342" s="6" t="s">
        <v>236</v>
      </c>
      <c r="B342" s="8" t="n">
        <v>12.25</v>
      </c>
      <c r="C342" s="7" t="n">
        <f aca="false">((1+B342/100)^(1/12)-1)*100</f>
        <v>0.967637803321342</v>
      </c>
    </row>
    <row r="343" customFormat="false" ht="15" hidden="false" customHeight="false" outlineLevel="0" collapsed="false">
      <c r="A343" s="6" t="s">
        <v>1036</v>
      </c>
      <c r="B343" s="8" t="n">
        <v>12.25</v>
      </c>
      <c r="C343" s="7" t="n">
        <f aca="false">((1+B343/100)^(1/12)-1)*100</f>
        <v>0.967637803321342</v>
      </c>
    </row>
    <row r="344" customFormat="false" ht="15" hidden="false" customHeight="false" outlineLevel="0" collapsed="false">
      <c r="A344" s="6" t="s">
        <v>1037</v>
      </c>
      <c r="B344" s="8" t="n">
        <v>12.25</v>
      </c>
      <c r="C344" s="7" t="n">
        <f aca="false">((1+B344/100)^(1/12)-1)*100</f>
        <v>0.967637803321342</v>
      </c>
    </row>
    <row r="345" customFormat="false" ht="15" hidden="false" customHeight="false" outlineLevel="0" collapsed="false">
      <c r="A345" s="6" t="s">
        <v>237</v>
      </c>
      <c r="B345" s="8" t="n">
        <v>12.25</v>
      </c>
      <c r="C345" s="7" t="n">
        <f aca="false">((1+B345/100)^(1/12)-1)*100</f>
        <v>0.967637803321342</v>
      </c>
    </row>
    <row r="346" customFormat="false" ht="15" hidden="false" customHeight="false" outlineLevel="0" collapsed="false">
      <c r="A346" s="6" t="s">
        <v>238</v>
      </c>
      <c r="B346" s="8" t="n">
        <v>12.25</v>
      </c>
      <c r="C346" s="7" t="n">
        <f aca="false">((1+B346/100)^(1/12)-1)*100</f>
        <v>0.967637803321342</v>
      </c>
    </row>
    <row r="347" customFormat="false" ht="15" hidden="false" customHeight="false" outlineLevel="0" collapsed="false">
      <c r="A347" s="6" t="s">
        <v>239</v>
      </c>
      <c r="B347" s="8" t="n">
        <v>12.25</v>
      </c>
      <c r="C347" s="7" t="n">
        <f aca="false">((1+B347/100)^(1/12)-1)*100</f>
        <v>0.967637803321342</v>
      </c>
    </row>
    <row r="348" customFormat="false" ht="15" hidden="false" customHeight="false" outlineLevel="0" collapsed="false">
      <c r="A348" s="6" t="s">
        <v>240</v>
      </c>
      <c r="B348" s="8" t="n">
        <v>12.25</v>
      </c>
      <c r="C348" s="7" t="n">
        <f aca="false">((1+B348/100)^(1/12)-1)*100</f>
        <v>0.967637803321342</v>
      </c>
    </row>
    <row r="349" customFormat="false" ht="15" hidden="false" customHeight="false" outlineLevel="0" collapsed="false">
      <c r="A349" s="6" t="s">
        <v>241</v>
      </c>
      <c r="B349" s="8" t="n">
        <v>12.25</v>
      </c>
      <c r="C349" s="7" t="n">
        <f aca="false">((1+B349/100)^(1/12)-1)*100</f>
        <v>0.967637803321342</v>
      </c>
    </row>
    <row r="350" customFormat="false" ht="15" hidden="false" customHeight="false" outlineLevel="0" collapsed="false">
      <c r="A350" s="6" t="s">
        <v>1038</v>
      </c>
      <c r="B350" s="8" t="n">
        <v>12.25</v>
      </c>
      <c r="C350" s="7" t="n">
        <f aca="false">((1+B350/100)^(1/12)-1)*100</f>
        <v>0.967637803321342</v>
      </c>
    </row>
    <row r="351" customFormat="false" ht="15" hidden="false" customHeight="false" outlineLevel="0" collapsed="false">
      <c r="A351" s="6" t="s">
        <v>1039</v>
      </c>
      <c r="B351" s="8" t="n">
        <v>12.25</v>
      </c>
      <c r="C351" s="7" t="n">
        <f aca="false">((1+B351/100)^(1/12)-1)*100</f>
        <v>0.967637803321342</v>
      </c>
    </row>
    <row r="352" customFormat="false" ht="15" hidden="false" customHeight="false" outlineLevel="0" collapsed="false">
      <c r="A352" s="6" t="s">
        <v>242</v>
      </c>
      <c r="B352" s="8" t="n">
        <v>12.25</v>
      </c>
      <c r="C352" s="7" t="n">
        <f aca="false">((1+B352/100)^(1/12)-1)*100</f>
        <v>0.967637803321342</v>
      </c>
    </row>
    <row r="353" customFormat="false" ht="15" hidden="false" customHeight="false" outlineLevel="0" collapsed="false">
      <c r="A353" s="6" t="s">
        <v>243</v>
      </c>
      <c r="B353" s="8" t="n">
        <v>12.25</v>
      </c>
      <c r="C353" s="7" t="n">
        <f aca="false">((1+B353/100)^(1/12)-1)*100</f>
        <v>0.967637803321342</v>
      </c>
    </row>
    <row r="354" customFormat="false" ht="15" hidden="false" customHeight="false" outlineLevel="0" collapsed="false">
      <c r="A354" s="6" t="s">
        <v>244</v>
      </c>
      <c r="B354" s="8" t="n">
        <v>12.25</v>
      </c>
      <c r="C354" s="7" t="n">
        <f aca="false">((1+B354/100)^(1/12)-1)*100</f>
        <v>0.967637803321342</v>
      </c>
    </row>
    <row r="355" customFormat="false" ht="15" hidden="false" customHeight="false" outlineLevel="0" collapsed="false">
      <c r="A355" s="6" t="s">
        <v>245</v>
      </c>
      <c r="B355" s="8" t="n">
        <v>11.75</v>
      </c>
      <c r="C355" s="7" t="n">
        <f aca="false">((1+B355/100)^(1/12)-1)*100</f>
        <v>0.930082361886542</v>
      </c>
    </row>
    <row r="356" customFormat="false" ht="15" hidden="false" customHeight="false" outlineLevel="0" collapsed="false">
      <c r="A356" s="6" t="s">
        <v>246</v>
      </c>
      <c r="B356" s="8" t="n">
        <v>11.75</v>
      </c>
      <c r="C356" s="7" t="n">
        <f aca="false">((1+B356/100)^(1/12)-1)*100</f>
        <v>0.930082361886542</v>
      </c>
    </row>
    <row r="357" customFormat="false" ht="15" hidden="false" customHeight="false" outlineLevel="0" collapsed="false">
      <c r="A357" s="6" t="s">
        <v>1040</v>
      </c>
      <c r="B357" s="8" t="n">
        <v>11.75</v>
      </c>
      <c r="C357" s="7" t="n">
        <f aca="false">((1+B357/100)^(1/12)-1)*100</f>
        <v>0.930082361886542</v>
      </c>
    </row>
    <row r="358" customFormat="false" ht="15" hidden="false" customHeight="false" outlineLevel="0" collapsed="false">
      <c r="A358" s="6" t="s">
        <v>1041</v>
      </c>
      <c r="B358" s="8" t="n">
        <v>11.75</v>
      </c>
      <c r="C358" s="7" t="n">
        <f aca="false">((1+B358/100)^(1/12)-1)*100</f>
        <v>0.930082361886542</v>
      </c>
    </row>
    <row r="359" customFormat="false" ht="15" hidden="false" customHeight="false" outlineLevel="0" collapsed="false">
      <c r="A359" s="6" t="s">
        <v>247</v>
      </c>
      <c r="B359" s="8" t="n">
        <v>11.75</v>
      </c>
      <c r="C359" s="7" t="n">
        <f aca="false">((1+B359/100)^(1/12)-1)*100</f>
        <v>0.930082361886542</v>
      </c>
    </row>
    <row r="360" customFormat="false" ht="15" hidden="false" customHeight="false" outlineLevel="0" collapsed="false">
      <c r="A360" s="6" t="s">
        <v>248</v>
      </c>
      <c r="B360" s="8" t="n">
        <v>11.75</v>
      </c>
      <c r="C360" s="7" t="n">
        <f aca="false">((1+B360/100)^(1/12)-1)*100</f>
        <v>0.930082361886542</v>
      </c>
    </row>
    <row r="361" customFormat="false" ht="15" hidden="false" customHeight="false" outlineLevel="0" collapsed="false">
      <c r="A361" s="6" t="s">
        <v>249</v>
      </c>
      <c r="B361" s="8" t="n">
        <v>11.75</v>
      </c>
      <c r="C361" s="7" t="n">
        <f aca="false">((1+B361/100)^(1/12)-1)*100</f>
        <v>0.930082361886542</v>
      </c>
    </row>
    <row r="362" customFormat="false" ht="15" hidden="false" customHeight="false" outlineLevel="0" collapsed="false">
      <c r="A362" s="6" t="s">
        <v>250</v>
      </c>
      <c r="B362" s="8" t="n">
        <v>11.75</v>
      </c>
      <c r="C362" s="7" t="n">
        <f aca="false">((1+B362/100)^(1/12)-1)*100</f>
        <v>0.930082361886542</v>
      </c>
    </row>
    <row r="363" customFormat="false" ht="15" hidden="false" customHeight="false" outlineLevel="0" collapsed="false">
      <c r="A363" s="6" t="s">
        <v>251</v>
      </c>
      <c r="B363" s="8" t="n">
        <v>11.75</v>
      </c>
      <c r="C363" s="7" t="n">
        <f aca="false">((1+B363/100)^(1/12)-1)*100</f>
        <v>0.930082361886542</v>
      </c>
    </row>
    <row r="364" customFormat="false" ht="15" hidden="false" customHeight="false" outlineLevel="0" collapsed="false">
      <c r="A364" s="6" t="s">
        <v>1042</v>
      </c>
      <c r="B364" s="8" t="n">
        <v>11.75</v>
      </c>
      <c r="C364" s="7" t="n">
        <f aca="false">((1+B364/100)^(1/12)-1)*100</f>
        <v>0.930082361886542</v>
      </c>
    </row>
    <row r="365" customFormat="false" ht="15" hidden="false" customHeight="false" outlineLevel="0" collapsed="false">
      <c r="A365" s="6" t="s">
        <v>1043</v>
      </c>
      <c r="B365" s="8" t="n">
        <v>11.75</v>
      </c>
      <c r="C365" s="7" t="n">
        <f aca="false">((1+B365/100)^(1/12)-1)*100</f>
        <v>0.930082361886542</v>
      </c>
    </row>
    <row r="366" customFormat="false" ht="15" hidden="false" customHeight="false" outlineLevel="0" collapsed="false">
      <c r="A366" s="6" t="s">
        <v>1044</v>
      </c>
      <c r="B366" s="8" t="n">
        <v>11.75</v>
      </c>
      <c r="C366" s="7" t="n">
        <f aca="false">((1+B366/100)^(1/12)-1)*100</f>
        <v>0.930082361886542</v>
      </c>
    </row>
    <row r="367" customFormat="false" ht="15" hidden="false" customHeight="false" outlineLevel="0" collapsed="false">
      <c r="A367" s="6" t="s">
        <v>252</v>
      </c>
      <c r="B367" s="8" t="n">
        <v>11.75</v>
      </c>
      <c r="C367" s="7" t="n">
        <f aca="false">((1+B367/100)^(1/12)-1)*100</f>
        <v>0.930082361886542</v>
      </c>
    </row>
    <row r="368" customFormat="false" ht="15" hidden="false" customHeight="false" outlineLevel="0" collapsed="false">
      <c r="A368" s="6" t="s">
        <v>253</v>
      </c>
      <c r="B368" s="8" t="n">
        <v>11.75</v>
      </c>
      <c r="C368" s="7" t="n">
        <f aca="false">((1+B368/100)^(1/12)-1)*100</f>
        <v>0.930082361886542</v>
      </c>
    </row>
    <row r="369" customFormat="false" ht="15" hidden="false" customHeight="false" outlineLevel="0" collapsed="false">
      <c r="A369" s="6" t="s">
        <v>254</v>
      </c>
      <c r="B369" s="8" t="n">
        <v>11.75</v>
      </c>
      <c r="C369" s="7" t="n">
        <f aca="false">((1+B369/100)^(1/12)-1)*100</f>
        <v>0.930082361886542</v>
      </c>
    </row>
    <row r="370" customFormat="false" ht="15" hidden="false" customHeight="false" outlineLevel="0" collapsed="false">
      <c r="A370" s="6" t="s">
        <v>255</v>
      </c>
      <c r="B370" s="8" t="n">
        <v>11.75</v>
      </c>
      <c r="C370" s="7" t="n">
        <f aca="false">((1+B370/100)^(1/12)-1)*100</f>
        <v>0.930082361886542</v>
      </c>
    </row>
    <row r="371" customFormat="false" ht="15" hidden="false" customHeight="false" outlineLevel="0" collapsed="false">
      <c r="A371" s="6" t="s">
        <v>1045</v>
      </c>
      <c r="B371" s="8" t="n">
        <v>11.75</v>
      </c>
      <c r="C371" s="7" t="n">
        <f aca="false">((1+B371/100)^(1/12)-1)*100</f>
        <v>0.930082361886542</v>
      </c>
    </row>
    <row r="372" customFormat="false" ht="15" hidden="false" customHeight="false" outlineLevel="0" collapsed="false">
      <c r="A372" s="6" t="s">
        <v>1046</v>
      </c>
      <c r="B372" s="8" t="n">
        <v>11.75</v>
      </c>
      <c r="C372" s="7" t="n">
        <f aca="false">((1+B372/100)^(1/12)-1)*100</f>
        <v>0.930082361886542</v>
      </c>
    </row>
    <row r="373" customFormat="false" ht="15" hidden="false" customHeight="false" outlineLevel="0" collapsed="false">
      <c r="A373" s="6" t="s">
        <v>1047</v>
      </c>
      <c r="B373" s="8" t="n">
        <v>11.75</v>
      </c>
      <c r="C373" s="7" t="n">
        <f aca="false">((1+B373/100)^(1/12)-1)*100</f>
        <v>0.930082361886542</v>
      </c>
    </row>
    <row r="374" customFormat="false" ht="15" hidden="false" customHeight="false" outlineLevel="0" collapsed="false">
      <c r="A374" s="6" t="s">
        <v>256</v>
      </c>
      <c r="B374" s="8" t="n">
        <v>11.75</v>
      </c>
      <c r="C374" s="7" t="n">
        <f aca="false">((1+B374/100)^(1/12)-1)*100</f>
        <v>0.930082361886542</v>
      </c>
    </row>
    <row r="375" customFormat="false" ht="15" hidden="false" customHeight="false" outlineLevel="0" collapsed="false">
      <c r="A375" s="6" t="s">
        <v>257</v>
      </c>
      <c r="B375" s="8" t="n">
        <v>11.75</v>
      </c>
      <c r="C375" s="7" t="n">
        <f aca="false">((1+B375/100)^(1/12)-1)*100</f>
        <v>0.930082361886542</v>
      </c>
    </row>
    <row r="376" customFormat="false" ht="15" hidden="false" customHeight="false" outlineLevel="0" collapsed="false">
      <c r="A376" s="6" t="s">
        <v>258</v>
      </c>
      <c r="B376" s="8" t="n">
        <v>11.75</v>
      </c>
      <c r="C376" s="7" t="n">
        <f aca="false">((1+B376/100)^(1/12)-1)*100</f>
        <v>0.930082361886542</v>
      </c>
    </row>
    <row r="377" customFormat="false" ht="15" hidden="false" customHeight="false" outlineLevel="0" collapsed="false">
      <c r="A377" s="6" t="s">
        <v>259</v>
      </c>
      <c r="B377" s="8" t="n">
        <v>11.75</v>
      </c>
      <c r="C377" s="7" t="n">
        <f aca="false">((1+B377/100)^(1/12)-1)*100</f>
        <v>0.930082361886542</v>
      </c>
    </row>
    <row r="378" customFormat="false" ht="15" hidden="false" customHeight="false" outlineLevel="0" collapsed="false">
      <c r="A378" s="6" t="s">
        <v>1048</v>
      </c>
      <c r="B378" s="8" t="n">
        <v>11.75</v>
      </c>
      <c r="C378" s="7" t="n">
        <f aca="false">((1+B378/100)^(1/12)-1)*100</f>
        <v>0.930082361886542</v>
      </c>
    </row>
    <row r="379" customFormat="false" ht="15" hidden="false" customHeight="false" outlineLevel="0" collapsed="false">
      <c r="A379" s="6" t="s">
        <v>1049</v>
      </c>
      <c r="B379" s="8" t="n">
        <v>11.75</v>
      </c>
      <c r="C379" s="7" t="n">
        <f aca="false">((1+B379/100)^(1/12)-1)*100</f>
        <v>0.930082361886542</v>
      </c>
    </row>
    <row r="380" customFormat="false" ht="15" hidden="false" customHeight="false" outlineLevel="0" collapsed="false">
      <c r="A380" s="6" t="s">
        <v>260</v>
      </c>
      <c r="B380" s="8" t="n">
        <v>11.75</v>
      </c>
      <c r="C380" s="7" t="n">
        <f aca="false">((1+B380/100)^(1/12)-1)*100</f>
        <v>0.930082361886542</v>
      </c>
    </row>
    <row r="381" customFormat="false" ht="15" hidden="false" customHeight="false" outlineLevel="0" collapsed="false">
      <c r="A381" s="6" t="s">
        <v>261</v>
      </c>
      <c r="B381" s="8" t="n">
        <v>11.75</v>
      </c>
      <c r="C381" s="7" t="n">
        <f aca="false">((1+B381/100)^(1/12)-1)*100</f>
        <v>0.930082361886542</v>
      </c>
    </row>
    <row r="382" customFormat="false" ht="15" hidden="false" customHeight="false" outlineLevel="0" collapsed="false">
      <c r="A382" s="6" t="s">
        <v>262</v>
      </c>
      <c r="B382" s="8" t="n">
        <v>11.75</v>
      </c>
      <c r="C382" s="7" t="n">
        <f aca="false">((1+B382/100)^(1/12)-1)*100</f>
        <v>0.930082361886542</v>
      </c>
    </row>
    <row r="383" customFormat="false" ht="15" hidden="false" customHeight="false" outlineLevel="0" collapsed="false">
      <c r="A383" s="6" t="s">
        <v>263</v>
      </c>
      <c r="B383" s="8" t="n">
        <v>11.75</v>
      </c>
      <c r="C383" s="7" t="n">
        <f aca="false">((1+B383/100)^(1/12)-1)*100</f>
        <v>0.930082361886542</v>
      </c>
    </row>
    <row r="384" customFormat="false" ht="15" hidden="false" customHeight="false" outlineLevel="0" collapsed="false">
      <c r="A384" s="6" t="s">
        <v>264</v>
      </c>
      <c r="B384" s="8" t="n">
        <v>11.75</v>
      </c>
      <c r="C384" s="7" t="n">
        <f aca="false">((1+B384/100)^(1/12)-1)*100</f>
        <v>0.930082361886542</v>
      </c>
    </row>
    <row r="385" customFormat="false" ht="15" hidden="false" customHeight="false" outlineLevel="0" collapsed="false">
      <c r="A385" s="6" t="s">
        <v>1050</v>
      </c>
      <c r="B385" s="8" t="n">
        <v>11.75</v>
      </c>
      <c r="C385" s="7" t="n">
        <f aca="false">((1+B385/100)^(1/12)-1)*100</f>
        <v>0.930082361886542</v>
      </c>
    </row>
    <row r="386" customFormat="false" ht="15" hidden="false" customHeight="false" outlineLevel="0" collapsed="false">
      <c r="A386" s="6" t="s">
        <v>1051</v>
      </c>
      <c r="B386" s="8" t="n">
        <v>11.75</v>
      </c>
      <c r="C386" s="7" t="n">
        <f aca="false">((1+B386/100)^(1/12)-1)*100</f>
        <v>0.930082361886542</v>
      </c>
    </row>
    <row r="387" customFormat="false" ht="15" hidden="false" customHeight="false" outlineLevel="0" collapsed="false">
      <c r="A387" s="6" t="s">
        <v>265</v>
      </c>
      <c r="B387" s="8" t="n">
        <v>11.75</v>
      </c>
      <c r="C387" s="7" t="n">
        <f aca="false">((1+B387/100)^(1/12)-1)*100</f>
        <v>0.930082361886542</v>
      </c>
    </row>
    <row r="388" customFormat="false" ht="15" hidden="false" customHeight="false" outlineLevel="0" collapsed="false">
      <c r="A388" s="6" t="s">
        <v>266</v>
      </c>
      <c r="B388" s="8" t="n">
        <v>11.75</v>
      </c>
      <c r="C388" s="7" t="n">
        <f aca="false">((1+B388/100)^(1/12)-1)*100</f>
        <v>0.930082361886542</v>
      </c>
    </row>
    <row r="389" customFormat="false" ht="15" hidden="false" customHeight="false" outlineLevel="0" collapsed="false">
      <c r="A389" s="6" t="s">
        <v>267</v>
      </c>
      <c r="B389" s="8" t="n">
        <v>11.75</v>
      </c>
      <c r="C389" s="7" t="n">
        <f aca="false">((1+B389/100)^(1/12)-1)*100</f>
        <v>0.930082361886542</v>
      </c>
    </row>
    <row r="390" customFormat="false" ht="15" hidden="false" customHeight="false" outlineLevel="0" collapsed="false">
      <c r="A390" s="6" t="s">
        <v>268</v>
      </c>
      <c r="B390" s="8" t="n">
        <v>11.75</v>
      </c>
      <c r="C390" s="7" t="n">
        <f aca="false">((1+B390/100)^(1/12)-1)*100</f>
        <v>0.930082361886542</v>
      </c>
    </row>
    <row r="391" customFormat="false" ht="15" hidden="false" customHeight="false" outlineLevel="0" collapsed="false">
      <c r="A391" s="6" t="s">
        <v>269</v>
      </c>
      <c r="B391" s="8" t="n">
        <v>11.75</v>
      </c>
      <c r="C391" s="7" t="n">
        <f aca="false">((1+B391/100)^(1/12)-1)*100</f>
        <v>0.930082361886542</v>
      </c>
    </row>
    <row r="392" customFormat="false" ht="15" hidden="false" customHeight="false" outlineLevel="0" collapsed="false">
      <c r="A392" s="6" t="s">
        <v>1052</v>
      </c>
      <c r="B392" s="8" t="n">
        <v>11.75</v>
      </c>
      <c r="C392" s="7" t="n">
        <f aca="false">((1+B392/100)^(1/12)-1)*100</f>
        <v>0.930082361886542</v>
      </c>
    </row>
    <row r="393" customFormat="false" ht="15" hidden="false" customHeight="false" outlineLevel="0" collapsed="false">
      <c r="A393" s="6" t="s">
        <v>1053</v>
      </c>
      <c r="B393" s="8" t="n">
        <v>11.75</v>
      </c>
      <c r="C393" s="7" t="n">
        <f aca="false">((1+B393/100)^(1/12)-1)*100</f>
        <v>0.930082361886542</v>
      </c>
    </row>
    <row r="394" customFormat="false" ht="15" hidden="false" customHeight="false" outlineLevel="0" collapsed="false">
      <c r="A394" s="6" t="s">
        <v>270</v>
      </c>
      <c r="B394" s="8" t="n">
        <v>11.75</v>
      </c>
      <c r="C394" s="7" t="n">
        <f aca="false">((1+B394/100)^(1/12)-1)*100</f>
        <v>0.930082361886542</v>
      </c>
    </row>
    <row r="395" customFormat="false" ht="15" hidden="false" customHeight="false" outlineLevel="0" collapsed="false">
      <c r="A395" s="6" t="s">
        <v>271</v>
      </c>
      <c r="B395" s="8" t="n">
        <v>11.75</v>
      </c>
      <c r="C395" s="7" t="n">
        <f aca="false">((1+B395/100)^(1/12)-1)*100</f>
        <v>0.930082361886542</v>
      </c>
    </row>
    <row r="396" customFormat="false" ht="15" hidden="false" customHeight="false" outlineLevel="0" collapsed="false">
      <c r="A396" s="6" t="s">
        <v>272</v>
      </c>
      <c r="B396" s="8" t="n">
        <v>11.75</v>
      </c>
      <c r="C396" s="7" t="n">
        <f aca="false">((1+B396/100)^(1/12)-1)*100</f>
        <v>0.930082361886542</v>
      </c>
    </row>
    <row r="397" customFormat="false" ht="15" hidden="false" customHeight="false" outlineLevel="0" collapsed="false">
      <c r="A397" s="6" t="s">
        <v>273</v>
      </c>
      <c r="B397" s="8" t="n">
        <v>11.75</v>
      </c>
      <c r="C397" s="7" t="n">
        <f aca="false">((1+B397/100)^(1/12)-1)*100</f>
        <v>0.930082361886542</v>
      </c>
    </row>
    <row r="398" customFormat="false" ht="15" hidden="false" customHeight="false" outlineLevel="0" collapsed="false">
      <c r="A398" s="6" t="s">
        <v>274</v>
      </c>
      <c r="B398" s="8" t="n">
        <v>11.75</v>
      </c>
      <c r="C398" s="7" t="n">
        <f aca="false">((1+B398/100)^(1/12)-1)*100</f>
        <v>0.930082361886542</v>
      </c>
    </row>
    <row r="399" customFormat="false" ht="15" hidden="false" customHeight="false" outlineLevel="0" collapsed="false">
      <c r="A399" s="6" t="s">
        <v>1054</v>
      </c>
      <c r="B399" s="8" t="n">
        <v>11.75</v>
      </c>
      <c r="C399" s="7" t="n">
        <f aca="false">((1+B399/100)^(1/12)-1)*100</f>
        <v>0.930082361886542</v>
      </c>
    </row>
    <row r="400" customFormat="false" ht="15" hidden="false" customHeight="false" outlineLevel="0" collapsed="false">
      <c r="A400" s="6" t="s">
        <v>1055</v>
      </c>
      <c r="B400" s="8" t="n">
        <v>11.75</v>
      </c>
      <c r="C400" s="7" t="n">
        <f aca="false">((1+B400/100)^(1/12)-1)*100</f>
        <v>0.930082361886542</v>
      </c>
    </row>
    <row r="401" customFormat="false" ht="15" hidden="false" customHeight="false" outlineLevel="0" collapsed="false">
      <c r="A401" s="6" t="s">
        <v>275</v>
      </c>
      <c r="B401" s="8" t="n">
        <v>11.75</v>
      </c>
      <c r="C401" s="7" t="n">
        <f aca="false">((1+B401/100)^(1/12)-1)*100</f>
        <v>0.930082361886542</v>
      </c>
    </row>
    <row r="402" customFormat="false" ht="15" hidden="false" customHeight="false" outlineLevel="0" collapsed="false">
      <c r="A402" s="6" t="s">
        <v>276</v>
      </c>
      <c r="B402" s="8" t="n">
        <v>11.75</v>
      </c>
      <c r="C402" s="7" t="n">
        <f aca="false">((1+B402/100)^(1/12)-1)*100</f>
        <v>0.930082361886542</v>
      </c>
    </row>
    <row r="403" customFormat="false" ht="15" hidden="false" customHeight="false" outlineLevel="0" collapsed="false">
      <c r="A403" s="6" t="s">
        <v>277</v>
      </c>
      <c r="B403" s="8" t="n">
        <v>11.75</v>
      </c>
      <c r="C403" s="7" t="n">
        <f aca="false">((1+B403/100)^(1/12)-1)*100</f>
        <v>0.930082361886542</v>
      </c>
    </row>
    <row r="404" customFormat="false" ht="15" hidden="false" customHeight="false" outlineLevel="0" collapsed="false">
      <c r="A404" s="6" t="s">
        <v>278</v>
      </c>
      <c r="B404" s="8" t="n">
        <v>11.25</v>
      </c>
      <c r="C404" s="7" t="n">
        <f aca="false">((1+B404/100)^(1/12)-1)*100</f>
        <v>0.892372572874778</v>
      </c>
    </row>
    <row r="405" customFormat="false" ht="15" hidden="false" customHeight="false" outlineLevel="0" collapsed="false">
      <c r="A405" s="6" t="s">
        <v>279</v>
      </c>
      <c r="B405" s="8" t="n">
        <v>11.25</v>
      </c>
      <c r="C405" s="7" t="n">
        <f aca="false">((1+B405/100)^(1/12)-1)*100</f>
        <v>0.892372572874778</v>
      </c>
    </row>
    <row r="406" customFormat="false" ht="15" hidden="false" customHeight="false" outlineLevel="0" collapsed="false">
      <c r="A406" s="6" t="s">
        <v>1056</v>
      </c>
      <c r="B406" s="8" t="n">
        <v>11.25</v>
      </c>
      <c r="C406" s="7" t="n">
        <f aca="false">((1+B406/100)^(1/12)-1)*100</f>
        <v>0.892372572874778</v>
      </c>
    </row>
    <row r="407" customFormat="false" ht="15" hidden="false" customHeight="false" outlineLevel="0" collapsed="false">
      <c r="A407" s="6" t="s">
        <v>1057</v>
      </c>
      <c r="B407" s="8" t="n">
        <v>11.25</v>
      </c>
      <c r="C407" s="7" t="n">
        <f aca="false">((1+B407/100)^(1/12)-1)*100</f>
        <v>0.892372572874778</v>
      </c>
    </row>
    <row r="408" customFormat="false" ht="15" hidden="false" customHeight="false" outlineLevel="0" collapsed="false">
      <c r="A408" s="6" t="s">
        <v>280</v>
      </c>
      <c r="B408" s="8" t="n">
        <v>11.25</v>
      </c>
      <c r="C408" s="7" t="n">
        <f aca="false">((1+B408/100)^(1/12)-1)*100</f>
        <v>0.892372572874778</v>
      </c>
    </row>
    <row r="409" customFormat="false" ht="15" hidden="false" customHeight="false" outlineLevel="0" collapsed="false">
      <c r="A409" s="6" t="s">
        <v>281</v>
      </c>
      <c r="B409" s="8" t="n">
        <v>11.25</v>
      </c>
      <c r="C409" s="7" t="n">
        <f aca="false">((1+B409/100)^(1/12)-1)*100</f>
        <v>0.892372572874778</v>
      </c>
    </row>
    <row r="410" customFormat="false" ht="15" hidden="false" customHeight="false" outlineLevel="0" collapsed="false">
      <c r="A410" s="6" t="s">
        <v>282</v>
      </c>
      <c r="B410" s="8" t="n">
        <v>11.25</v>
      </c>
      <c r="C410" s="7" t="n">
        <f aca="false">((1+B410/100)^(1/12)-1)*100</f>
        <v>0.892372572874778</v>
      </c>
    </row>
    <row r="411" customFormat="false" ht="15" hidden="false" customHeight="false" outlineLevel="0" collapsed="false">
      <c r="A411" s="6" t="s">
        <v>283</v>
      </c>
      <c r="B411" s="8" t="n">
        <v>11.25</v>
      </c>
      <c r="C411" s="7" t="n">
        <f aca="false">((1+B411/100)^(1/12)-1)*100</f>
        <v>0.892372572874778</v>
      </c>
    </row>
    <row r="412" customFormat="false" ht="15" hidden="false" customHeight="false" outlineLevel="0" collapsed="false">
      <c r="A412" s="6" t="s">
        <v>284</v>
      </c>
      <c r="B412" s="8" t="n">
        <v>11.25</v>
      </c>
      <c r="C412" s="7" t="n">
        <f aca="false">((1+B412/100)^(1/12)-1)*100</f>
        <v>0.892372572874778</v>
      </c>
    </row>
    <row r="413" customFormat="false" ht="15" hidden="false" customHeight="false" outlineLevel="0" collapsed="false">
      <c r="A413" s="6" t="s">
        <v>1058</v>
      </c>
      <c r="B413" s="8" t="n">
        <v>11.25</v>
      </c>
      <c r="C413" s="7" t="n">
        <f aca="false">((1+B413/100)^(1/12)-1)*100</f>
        <v>0.892372572874778</v>
      </c>
    </row>
    <row r="414" customFormat="false" ht="15" hidden="false" customHeight="false" outlineLevel="0" collapsed="false">
      <c r="A414" s="6" t="s">
        <v>1059</v>
      </c>
      <c r="B414" s="8" t="n">
        <v>11.25</v>
      </c>
      <c r="C414" s="7" t="n">
        <f aca="false">((1+B414/100)^(1/12)-1)*100</f>
        <v>0.892372572874778</v>
      </c>
    </row>
    <row r="415" customFormat="false" ht="15" hidden="false" customHeight="false" outlineLevel="0" collapsed="false">
      <c r="A415" s="6" t="s">
        <v>1060</v>
      </c>
      <c r="B415" s="8" t="n">
        <v>11.25</v>
      </c>
      <c r="C415" s="7" t="n">
        <f aca="false">((1+B415/100)^(1/12)-1)*100</f>
        <v>0.892372572874778</v>
      </c>
    </row>
    <row r="416" customFormat="false" ht="15" hidden="false" customHeight="false" outlineLevel="0" collapsed="false">
      <c r="A416" s="6" t="s">
        <v>1061</v>
      </c>
      <c r="B416" s="8" t="n">
        <v>11.25</v>
      </c>
      <c r="C416" s="7" t="n">
        <f aca="false">((1+B416/100)^(1/12)-1)*100</f>
        <v>0.892372572874778</v>
      </c>
    </row>
    <row r="417" customFormat="false" ht="15" hidden="false" customHeight="false" outlineLevel="0" collapsed="false">
      <c r="A417" s="6" t="s">
        <v>285</v>
      </c>
      <c r="B417" s="8" t="n">
        <v>11.25</v>
      </c>
      <c r="C417" s="7" t="n">
        <f aca="false">((1+B417/100)^(1/12)-1)*100</f>
        <v>0.892372572874778</v>
      </c>
    </row>
    <row r="418" customFormat="false" ht="15" hidden="false" customHeight="false" outlineLevel="0" collapsed="false">
      <c r="A418" s="6" t="s">
        <v>286</v>
      </c>
      <c r="B418" s="8" t="n">
        <v>11.25</v>
      </c>
      <c r="C418" s="7" t="n">
        <f aca="false">((1+B418/100)^(1/12)-1)*100</f>
        <v>0.892372572874778</v>
      </c>
    </row>
    <row r="419" customFormat="false" ht="15" hidden="false" customHeight="false" outlineLevel="0" collapsed="false">
      <c r="A419" s="6" t="s">
        <v>287</v>
      </c>
      <c r="B419" s="8" t="n">
        <v>11.25</v>
      </c>
      <c r="C419" s="7" t="n">
        <f aca="false">((1+B419/100)^(1/12)-1)*100</f>
        <v>0.892372572874778</v>
      </c>
    </row>
    <row r="420" customFormat="false" ht="15" hidden="false" customHeight="false" outlineLevel="0" collapsed="false">
      <c r="A420" s="6" t="s">
        <v>1062</v>
      </c>
      <c r="B420" s="8" t="n">
        <v>11.25</v>
      </c>
      <c r="C420" s="7" t="n">
        <f aca="false">((1+B420/100)^(1/12)-1)*100</f>
        <v>0.892372572874778</v>
      </c>
    </row>
    <row r="421" customFormat="false" ht="15" hidden="false" customHeight="false" outlineLevel="0" collapsed="false">
      <c r="A421" s="6" t="s">
        <v>1063</v>
      </c>
      <c r="B421" s="8" t="n">
        <v>11.25</v>
      </c>
      <c r="C421" s="7" t="n">
        <f aca="false">((1+B421/100)^(1/12)-1)*100</f>
        <v>0.892372572874778</v>
      </c>
    </row>
    <row r="422" customFormat="false" ht="15" hidden="false" customHeight="false" outlineLevel="0" collapsed="false">
      <c r="A422" s="6" t="s">
        <v>288</v>
      </c>
      <c r="B422" s="8" t="n">
        <v>11.25</v>
      </c>
      <c r="C422" s="7" t="n">
        <f aca="false">((1+B422/100)^(1/12)-1)*100</f>
        <v>0.892372572874778</v>
      </c>
    </row>
    <row r="423" customFormat="false" ht="15" hidden="false" customHeight="false" outlineLevel="0" collapsed="false">
      <c r="A423" s="6" t="s">
        <v>289</v>
      </c>
      <c r="B423" s="8" t="n">
        <v>11.25</v>
      </c>
      <c r="C423" s="7" t="n">
        <f aca="false">((1+B423/100)^(1/12)-1)*100</f>
        <v>0.892372572874778</v>
      </c>
    </row>
    <row r="424" customFormat="false" ht="15" hidden="false" customHeight="false" outlineLevel="0" collapsed="false">
      <c r="A424" s="6" t="s">
        <v>290</v>
      </c>
      <c r="B424" s="8" t="n">
        <v>11.25</v>
      </c>
      <c r="C424" s="7" t="n">
        <f aca="false">((1+B424/100)^(1/12)-1)*100</f>
        <v>0.892372572874778</v>
      </c>
    </row>
    <row r="425" customFormat="false" ht="15" hidden="false" customHeight="false" outlineLevel="0" collapsed="false">
      <c r="A425" s="6" t="s">
        <v>291</v>
      </c>
      <c r="B425" s="8" t="n">
        <v>11.25</v>
      </c>
      <c r="C425" s="7" t="n">
        <f aca="false">((1+B425/100)^(1/12)-1)*100</f>
        <v>0.892372572874778</v>
      </c>
    </row>
    <row r="426" customFormat="false" ht="15" hidden="false" customHeight="false" outlineLevel="0" collapsed="false">
      <c r="A426" s="6" t="s">
        <v>292</v>
      </c>
      <c r="B426" s="8" t="n">
        <v>11.25</v>
      </c>
      <c r="C426" s="7" t="n">
        <f aca="false">((1+B426/100)^(1/12)-1)*100</f>
        <v>0.892372572874778</v>
      </c>
    </row>
    <row r="427" customFormat="false" ht="15" hidden="false" customHeight="false" outlineLevel="0" collapsed="false">
      <c r="A427" s="6" t="s">
        <v>1064</v>
      </c>
      <c r="B427" s="8" t="n">
        <v>11.25</v>
      </c>
      <c r="C427" s="7" t="n">
        <f aca="false">((1+B427/100)^(1/12)-1)*100</f>
        <v>0.892372572874778</v>
      </c>
    </row>
    <row r="428" customFormat="false" ht="15" hidden="false" customHeight="false" outlineLevel="0" collapsed="false">
      <c r="A428" s="6" t="s">
        <v>1065</v>
      </c>
      <c r="B428" s="8" t="n">
        <v>11.25</v>
      </c>
      <c r="C428" s="7" t="n">
        <f aca="false">((1+B428/100)^(1/12)-1)*100</f>
        <v>0.892372572874778</v>
      </c>
    </row>
    <row r="429" customFormat="false" ht="15" hidden="false" customHeight="false" outlineLevel="0" collapsed="false">
      <c r="A429" s="6" t="s">
        <v>293</v>
      </c>
      <c r="B429" s="8" t="n">
        <v>11.25</v>
      </c>
      <c r="C429" s="7" t="n">
        <f aca="false">((1+B429/100)^(1/12)-1)*100</f>
        <v>0.892372572874778</v>
      </c>
    </row>
    <row r="430" customFormat="false" ht="15" hidden="false" customHeight="false" outlineLevel="0" collapsed="false">
      <c r="A430" s="6" t="s">
        <v>294</v>
      </c>
      <c r="B430" s="8" t="n">
        <v>11.25</v>
      </c>
      <c r="C430" s="7" t="n">
        <f aca="false">((1+B430/100)^(1/12)-1)*100</f>
        <v>0.892372572874778</v>
      </c>
    </row>
    <row r="431" customFormat="false" ht="15" hidden="false" customHeight="false" outlineLevel="0" collapsed="false">
      <c r="A431" s="6" t="s">
        <v>295</v>
      </c>
      <c r="B431" s="8" t="n">
        <v>11.25</v>
      </c>
      <c r="C431" s="7" t="n">
        <f aca="false">((1+B431/100)^(1/12)-1)*100</f>
        <v>0.892372572874778</v>
      </c>
    </row>
    <row r="432" customFormat="false" ht="15" hidden="false" customHeight="false" outlineLevel="0" collapsed="false">
      <c r="A432" s="6" t="s">
        <v>296</v>
      </c>
      <c r="B432" s="8" t="n">
        <v>11.25</v>
      </c>
      <c r="C432" s="7" t="n">
        <f aca="false">((1+B432/100)^(1/12)-1)*100</f>
        <v>0.892372572874778</v>
      </c>
    </row>
    <row r="433" customFormat="false" ht="15" hidden="false" customHeight="false" outlineLevel="0" collapsed="false">
      <c r="A433" s="6" t="s">
        <v>297</v>
      </c>
      <c r="B433" s="8" t="n">
        <v>11.25</v>
      </c>
      <c r="C433" s="7" t="n">
        <f aca="false">((1+B433/100)^(1/12)-1)*100</f>
        <v>0.892372572874778</v>
      </c>
    </row>
    <row r="434" customFormat="false" ht="15" hidden="false" customHeight="false" outlineLevel="0" collapsed="false">
      <c r="A434" s="6" t="s">
        <v>1066</v>
      </c>
      <c r="B434" s="8" t="n">
        <v>11.25</v>
      </c>
      <c r="C434" s="7" t="n">
        <f aca="false">((1+B434/100)^(1/12)-1)*100</f>
        <v>0.892372572874778</v>
      </c>
    </row>
    <row r="435" customFormat="false" ht="15" hidden="false" customHeight="false" outlineLevel="0" collapsed="false">
      <c r="A435" s="6" t="s">
        <v>1067</v>
      </c>
      <c r="B435" s="8" t="n">
        <v>11.25</v>
      </c>
      <c r="C435" s="7" t="n">
        <f aca="false">((1+B435/100)^(1/12)-1)*100</f>
        <v>0.892372572874778</v>
      </c>
    </row>
    <row r="436" customFormat="false" ht="15" hidden="false" customHeight="false" outlineLevel="0" collapsed="false">
      <c r="A436" s="6" t="s">
        <v>298</v>
      </c>
      <c r="B436" s="8" t="n">
        <v>11.25</v>
      </c>
      <c r="C436" s="7" t="n">
        <f aca="false">((1+B436/100)^(1/12)-1)*100</f>
        <v>0.892372572874778</v>
      </c>
    </row>
    <row r="437" customFormat="false" ht="15" hidden="false" customHeight="false" outlineLevel="0" collapsed="false">
      <c r="A437" s="6" t="s">
        <v>299</v>
      </c>
      <c r="B437" s="8" t="n">
        <v>11.25</v>
      </c>
      <c r="C437" s="7" t="n">
        <f aca="false">((1+B437/100)^(1/12)-1)*100</f>
        <v>0.892372572874778</v>
      </c>
    </row>
    <row r="438" customFormat="false" ht="15" hidden="false" customHeight="false" outlineLevel="0" collapsed="false">
      <c r="A438" s="6" t="s">
        <v>300</v>
      </c>
      <c r="B438" s="8" t="n">
        <v>11.25</v>
      </c>
      <c r="C438" s="7" t="n">
        <f aca="false">((1+B438/100)^(1/12)-1)*100</f>
        <v>0.892372572874778</v>
      </c>
    </row>
    <row r="439" customFormat="false" ht="15" hidden="false" customHeight="false" outlineLevel="0" collapsed="false">
      <c r="A439" s="6" t="s">
        <v>301</v>
      </c>
      <c r="B439" s="8" t="n">
        <v>11.25</v>
      </c>
      <c r="C439" s="7" t="n">
        <f aca="false">((1+B439/100)^(1/12)-1)*100</f>
        <v>0.892372572874778</v>
      </c>
    </row>
    <row r="440" customFormat="false" ht="15" hidden="false" customHeight="false" outlineLevel="0" collapsed="false">
      <c r="A440" s="6" t="s">
        <v>302</v>
      </c>
      <c r="B440" s="8" t="n">
        <v>11.25</v>
      </c>
      <c r="C440" s="7" t="n">
        <f aca="false">((1+B440/100)^(1/12)-1)*100</f>
        <v>0.892372572874778</v>
      </c>
    </row>
    <row r="441" customFormat="false" ht="15" hidden="false" customHeight="false" outlineLevel="0" collapsed="false">
      <c r="A441" s="6" t="s">
        <v>1068</v>
      </c>
      <c r="B441" s="8" t="n">
        <v>11.25</v>
      </c>
      <c r="C441" s="7" t="n">
        <f aca="false">((1+B441/100)^(1/12)-1)*100</f>
        <v>0.892372572874778</v>
      </c>
    </row>
    <row r="442" customFormat="false" ht="15" hidden="false" customHeight="false" outlineLevel="0" collapsed="false">
      <c r="A442" s="6" t="s">
        <v>1069</v>
      </c>
      <c r="B442" s="8" t="n">
        <v>11.25</v>
      </c>
      <c r="C442" s="7" t="n">
        <f aca="false">((1+B442/100)^(1/12)-1)*100</f>
        <v>0.892372572874778</v>
      </c>
    </row>
    <row r="443" customFormat="false" ht="15" hidden="false" customHeight="false" outlineLevel="0" collapsed="false">
      <c r="A443" s="6" t="s">
        <v>303</v>
      </c>
      <c r="B443" s="8" t="n">
        <v>11.25</v>
      </c>
      <c r="C443" s="7" t="n">
        <f aca="false">((1+B443/100)^(1/12)-1)*100</f>
        <v>0.892372572874778</v>
      </c>
    </row>
    <row r="444" customFormat="false" ht="15" hidden="false" customHeight="false" outlineLevel="0" collapsed="false">
      <c r="A444" s="6" t="s">
        <v>304</v>
      </c>
      <c r="B444" s="8" t="n">
        <v>11.25</v>
      </c>
      <c r="C444" s="7" t="n">
        <f aca="false">((1+B444/100)^(1/12)-1)*100</f>
        <v>0.892372572874778</v>
      </c>
    </row>
    <row r="445" customFormat="false" ht="15" hidden="false" customHeight="false" outlineLevel="0" collapsed="false">
      <c r="A445" s="6" t="s">
        <v>305</v>
      </c>
      <c r="B445" s="8" t="n">
        <v>11.25</v>
      </c>
      <c r="C445" s="7" t="n">
        <f aca="false">((1+B445/100)^(1/12)-1)*100</f>
        <v>0.892372572874778</v>
      </c>
    </row>
    <row r="446" customFormat="false" ht="15" hidden="false" customHeight="false" outlineLevel="0" collapsed="false">
      <c r="A446" s="6" t="s">
        <v>306</v>
      </c>
      <c r="B446" s="8" t="n">
        <v>11.25</v>
      </c>
      <c r="C446" s="7" t="n">
        <f aca="false">((1+B446/100)^(1/12)-1)*100</f>
        <v>0.892372572874778</v>
      </c>
    </row>
    <row r="447" customFormat="false" ht="15" hidden="false" customHeight="false" outlineLevel="0" collapsed="false">
      <c r="A447" s="6" t="s">
        <v>307</v>
      </c>
      <c r="B447" s="8" t="n">
        <v>11.25</v>
      </c>
      <c r="C447" s="7" t="n">
        <f aca="false">((1+B447/100)^(1/12)-1)*100</f>
        <v>0.892372572874778</v>
      </c>
    </row>
    <row r="448" customFormat="false" ht="15" hidden="false" customHeight="false" outlineLevel="0" collapsed="false">
      <c r="A448" s="6" t="s">
        <v>1070</v>
      </c>
      <c r="B448" s="8" t="n">
        <v>11.25</v>
      </c>
      <c r="C448" s="7" t="n">
        <f aca="false">((1+B448/100)^(1/12)-1)*100</f>
        <v>0.892372572874778</v>
      </c>
    </row>
    <row r="449" customFormat="false" ht="15" hidden="false" customHeight="false" outlineLevel="0" collapsed="false">
      <c r="A449" s="6" t="s">
        <v>1071</v>
      </c>
      <c r="B449" s="8" t="n">
        <v>11.25</v>
      </c>
      <c r="C449" s="7" t="n">
        <f aca="false">((1+B449/100)^(1/12)-1)*100</f>
        <v>0.892372572874778</v>
      </c>
    </row>
    <row r="450" customFormat="false" ht="15" hidden="false" customHeight="false" outlineLevel="0" collapsed="false">
      <c r="A450" s="6" t="s">
        <v>308</v>
      </c>
      <c r="B450" s="8" t="n">
        <v>11.25</v>
      </c>
      <c r="C450" s="7" t="n">
        <f aca="false">((1+B450/100)^(1/12)-1)*100</f>
        <v>0.892372572874778</v>
      </c>
    </row>
    <row r="451" customFormat="false" ht="15" hidden="false" customHeight="false" outlineLevel="0" collapsed="false">
      <c r="A451" s="6" t="s">
        <v>309</v>
      </c>
      <c r="B451" s="8" t="n">
        <v>11.25</v>
      </c>
      <c r="C451" s="7" t="n">
        <f aca="false">((1+B451/100)^(1/12)-1)*100</f>
        <v>0.892372572874778</v>
      </c>
    </row>
    <row r="452" customFormat="false" ht="15" hidden="false" customHeight="false" outlineLevel="0" collapsed="false">
      <c r="A452" s="6" t="s">
        <v>310</v>
      </c>
      <c r="B452" s="8" t="n">
        <v>11.25</v>
      </c>
      <c r="C452" s="7" t="n">
        <f aca="false">((1+B452/100)^(1/12)-1)*100</f>
        <v>0.892372572874778</v>
      </c>
    </row>
    <row r="453" customFormat="false" ht="15" hidden="false" customHeight="false" outlineLevel="0" collapsed="false">
      <c r="A453" s="6" t="s">
        <v>311</v>
      </c>
      <c r="B453" s="8" t="n">
        <v>10.75</v>
      </c>
      <c r="C453" s="7" t="n">
        <f aca="false">((1+B453/100)^(1/12)-1)*100</f>
        <v>0.85450710394861</v>
      </c>
    </row>
    <row r="454" customFormat="false" ht="15" hidden="false" customHeight="false" outlineLevel="0" collapsed="false">
      <c r="A454" s="6" t="s">
        <v>312</v>
      </c>
      <c r="B454" s="8" t="n">
        <v>10.75</v>
      </c>
      <c r="C454" s="7" t="n">
        <f aca="false">((1+B454/100)^(1/12)-1)*100</f>
        <v>0.85450710394861</v>
      </c>
    </row>
    <row r="455" customFormat="false" ht="15" hidden="false" customHeight="false" outlineLevel="0" collapsed="false">
      <c r="A455" s="6" t="s">
        <v>1072</v>
      </c>
      <c r="B455" s="8" t="n">
        <v>10.75</v>
      </c>
      <c r="C455" s="7" t="n">
        <f aca="false">((1+B455/100)^(1/12)-1)*100</f>
        <v>0.85450710394861</v>
      </c>
    </row>
    <row r="456" customFormat="false" ht="15" hidden="false" customHeight="false" outlineLevel="0" collapsed="false">
      <c r="A456" s="6" t="s">
        <v>1073</v>
      </c>
      <c r="B456" s="8" t="n">
        <v>10.75</v>
      </c>
      <c r="C456" s="7" t="n">
        <f aca="false">((1+B456/100)^(1/12)-1)*100</f>
        <v>0.85450710394861</v>
      </c>
    </row>
    <row r="457" customFormat="false" ht="15" hidden="false" customHeight="false" outlineLevel="0" collapsed="false">
      <c r="A457" s="6" t="s">
        <v>313</v>
      </c>
      <c r="B457" s="8" t="n">
        <v>10.75</v>
      </c>
      <c r="C457" s="7" t="n">
        <f aca="false">((1+B457/100)^(1/12)-1)*100</f>
        <v>0.85450710394861</v>
      </c>
    </row>
    <row r="458" customFormat="false" ht="15" hidden="false" customHeight="false" outlineLevel="0" collapsed="false">
      <c r="A458" s="6" t="s">
        <v>314</v>
      </c>
      <c r="B458" s="8" t="n">
        <v>10.75</v>
      </c>
      <c r="C458" s="7" t="n">
        <f aca="false">((1+B458/100)^(1/12)-1)*100</f>
        <v>0.85450710394861</v>
      </c>
    </row>
    <row r="459" customFormat="false" ht="15" hidden="false" customHeight="false" outlineLevel="0" collapsed="false">
      <c r="A459" s="6" t="s">
        <v>315</v>
      </c>
      <c r="B459" s="8" t="n">
        <v>10.75</v>
      </c>
      <c r="C459" s="7" t="n">
        <f aca="false">((1+B459/100)^(1/12)-1)*100</f>
        <v>0.85450710394861</v>
      </c>
    </row>
    <row r="460" customFormat="false" ht="15" hidden="false" customHeight="false" outlineLevel="0" collapsed="false">
      <c r="A460" s="6" t="s">
        <v>316</v>
      </c>
      <c r="B460" s="8" t="n">
        <v>10.75</v>
      </c>
      <c r="C460" s="7" t="n">
        <f aca="false">((1+B460/100)^(1/12)-1)*100</f>
        <v>0.85450710394861</v>
      </c>
    </row>
    <row r="461" customFormat="false" ht="15" hidden="false" customHeight="false" outlineLevel="0" collapsed="false">
      <c r="A461" s="6" t="s">
        <v>1074</v>
      </c>
      <c r="B461" s="8" t="n">
        <v>10.75</v>
      </c>
      <c r="C461" s="7" t="n">
        <f aca="false">((1+B461/100)^(1/12)-1)*100</f>
        <v>0.85450710394861</v>
      </c>
    </row>
    <row r="462" customFormat="false" ht="15" hidden="false" customHeight="false" outlineLevel="0" collapsed="false">
      <c r="A462" s="6" t="s">
        <v>1075</v>
      </c>
      <c r="B462" s="8" t="n">
        <v>10.75</v>
      </c>
      <c r="C462" s="7" t="n">
        <f aca="false">((1+B462/100)^(1/12)-1)*100</f>
        <v>0.85450710394861</v>
      </c>
    </row>
    <row r="463" customFormat="false" ht="15" hidden="false" customHeight="false" outlineLevel="0" collapsed="false">
      <c r="A463" s="6" t="s">
        <v>1076</v>
      </c>
      <c r="B463" s="8" t="n">
        <v>10.75</v>
      </c>
      <c r="C463" s="7" t="n">
        <f aca="false">((1+B463/100)^(1/12)-1)*100</f>
        <v>0.85450710394861</v>
      </c>
    </row>
    <row r="464" customFormat="false" ht="15" hidden="false" customHeight="false" outlineLevel="0" collapsed="false">
      <c r="A464" s="6" t="s">
        <v>317</v>
      </c>
      <c r="B464" s="8" t="n">
        <v>10.75</v>
      </c>
      <c r="C464" s="7" t="n">
        <f aca="false">((1+B464/100)^(1/12)-1)*100</f>
        <v>0.85450710394861</v>
      </c>
    </row>
    <row r="465" customFormat="false" ht="15" hidden="false" customHeight="false" outlineLevel="0" collapsed="false">
      <c r="A465" s="6" t="s">
        <v>318</v>
      </c>
      <c r="B465" s="8" t="n">
        <v>10.75</v>
      </c>
      <c r="C465" s="7" t="n">
        <f aca="false">((1+B465/100)^(1/12)-1)*100</f>
        <v>0.85450710394861</v>
      </c>
    </row>
    <row r="466" customFormat="false" ht="15" hidden="false" customHeight="false" outlineLevel="0" collapsed="false">
      <c r="A466" s="6" t="s">
        <v>319</v>
      </c>
      <c r="B466" s="8" t="n">
        <v>10.75</v>
      </c>
      <c r="C466" s="7" t="n">
        <f aca="false">((1+B466/100)^(1/12)-1)*100</f>
        <v>0.85450710394861</v>
      </c>
    </row>
    <row r="467" customFormat="false" ht="15" hidden="false" customHeight="false" outlineLevel="0" collapsed="false">
      <c r="A467" s="6" t="s">
        <v>320</v>
      </c>
      <c r="B467" s="8" t="n">
        <v>10.75</v>
      </c>
      <c r="C467" s="7" t="n">
        <f aca="false">((1+B467/100)^(1/12)-1)*100</f>
        <v>0.85450710394861</v>
      </c>
    </row>
    <row r="468" customFormat="false" ht="15" hidden="false" customHeight="false" outlineLevel="0" collapsed="false">
      <c r="A468" s="6" t="s">
        <v>321</v>
      </c>
      <c r="B468" s="8" t="n">
        <v>10.75</v>
      </c>
      <c r="C468" s="7" t="n">
        <f aca="false">((1+B468/100)^(1/12)-1)*100</f>
        <v>0.85450710394861</v>
      </c>
    </row>
    <row r="469" customFormat="false" ht="15" hidden="false" customHeight="false" outlineLevel="0" collapsed="false">
      <c r="A469" s="6" t="s">
        <v>1077</v>
      </c>
      <c r="B469" s="8" t="n">
        <v>10.75</v>
      </c>
      <c r="C469" s="7" t="n">
        <f aca="false">((1+B469/100)^(1/12)-1)*100</f>
        <v>0.85450710394861</v>
      </c>
    </row>
    <row r="470" customFormat="false" ht="15" hidden="false" customHeight="false" outlineLevel="0" collapsed="false">
      <c r="A470" s="6" t="s">
        <v>1078</v>
      </c>
      <c r="B470" s="8" t="n">
        <v>10.75</v>
      </c>
      <c r="C470" s="7" t="n">
        <f aca="false">((1+B470/100)^(1/12)-1)*100</f>
        <v>0.85450710394861</v>
      </c>
    </row>
    <row r="471" customFormat="false" ht="15" hidden="false" customHeight="false" outlineLevel="0" collapsed="false">
      <c r="A471" s="6" t="s">
        <v>322</v>
      </c>
      <c r="B471" s="8" t="n">
        <v>10.75</v>
      </c>
      <c r="C471" s="7" t="n">
        <f aca="false">((1+B471/100)^(1/12)-1)*100</f>
        <v>0.85450710394861</v>
      </c>
    </row>
    <row r="472" customFormat="false" ht="15" hidden="false" customHeight="false" outlineLevel="0" collapsed="false">
      <c r="A472" s="6" t="s">
        <v>323</v>
      </c>
      <c r="B472" s="8" t="n">
        <v>10.75</v>
      </c>
      <c r="C472" s="7" t="n">
        <f aca="false">((1+B472/100)^(1/12)-1)*100</f>
        <v>0.85450710394861</v>
      </c>
    </row>
    <row r="473" customFormat="false" ht="15" hidden="false" customHeight="false" outlineLevel="0" collapsed="false">
      <c r="A473" s="6" t="s">
        <v>324</v>
      </c>
      <c r="B473" s="8" t="n">
        <v>10.75</v>
      </c>
      <c r="C473" s="7" t="n">
        <f aca="false">((1+B473/100)^(1/12)-1)*100</f>
        <v>0.85450710394861</v>
      </c>
    </row>
    <row r="474" customFormat="false" ht="15" hidden="false" customHeight="false" outlineLevel="0" collapsed="false">
      <c r="A474" s="6" t="s">
        <v>325</v>
      </c>
      <c r="B474" s="8" t="n">
        <v>10.75</v>
      </c>
      <c r="C474" s="7" t="n">
        <f aca="false">((1+B474/100)^(1/12)-1)*100</f>
        <v>0.85450710394861</v>
      </c>
    </row>
    <row r="475" customFormat="false" ht="15" hidden="false" customHeight="false" outlineLevel="0" collapsed="false">
      <c r="A475" s="6" t="s">
        <v>326</v>
      </c>
      <c r="B475" s="8" t="n">
        <v>10.75</v>
      </c>
      <c r="C475" s="7" t="n">
        <f aca="false">((1+B475/100)^(1/12)-1)*100</f>
        <v>0.85450710394861</v>
      </c>
    </row>
    <row r="476" customFormat="false" ht="15" hidden="false" customHeight="false" outlineLevel="0" collapsed="false">
      <c r="A476" s="6" t="s">
        <v>1079</v>
      </c>
      <c r="B476" s="8" t="n">
        <v>10.75</v>
      </c>
      <c r="C476" s="7" t="n">
        <f aca="false">((1+B476/100)^(1/12)-1)*100</f>
        <v>0.85450710394861</v>
      </c>
    </row>
    <row r="477" customFormat="false" ht="15" hidden="false" customHeight="false" outlineLevel="0" collapsed="false">
      <c r="A477" s="6" t="s">
        <v>1080</v>
      </c>
      <c r="B477" s="8" t="n">
        <v>10.75</v>
      </c>
      <c r="C477" s="7" t="n">
        <f aca="false">((1+B477/100)^(1/12)-1)*100</f>
        <v>0.85450710394861</v>
      </c>
    </row>
    <row r="478" customFormat="false" ht="15" hidden="false" customHeight="false" outlineLevel="0" collapsed="false">
      <c r="A478" s="6" t="s">
        <v>327</v>
      </c>
      <c r="B478" s="8" t="n">
        <v>10.75</v>
      </c>
      <c r="C478" s="7" t="n">
        <f aca="false">((1+B478/100)^(1/12)-1)*100</f>
        <v>0.85450710394861</v>
      </c>
    </row>
    <row r="479" customFormat="false" ht="15" hidden="false" customHeight="false" outlineLevel="0" collapsed="false">
      <c r="A479" s="6" t="s">
        <v>328</v>
      </c>
      <c r="B479" s="8" t="n">
        <v>10.75</v>
      </c>
      <c r="C479" s="7" t="n">
        <f aca="false">((1+B479/100)^(1/12)-1)*100</f>
        <v>0.85450710394861</v>
      </c>
    </row>
    <row r="480" customFormat="false" ht="15" hidden="false" customHeight="false" outlineLevel="0" collapsed="false">
      <c r="A480" s="6" t="s">
        <v>329</v>
      </c>
      <c r="B480" s="8" t="n">
        <v>10.75</v>
      </c>
      <c r="C480" s="7" t="n">
        <f aca="false">((1+B480/100)^(1/12)-1)*100</f>
        <v>0.85450710394861</v>
      </c>
    </row>
    <row r="481" customFormat="false" ht="15" hidden="false" customHeight="false" outlineLevel="0" collapsed="false">
      <c r="A481" s="6" t="s">
        <v>330</v>
      </c>
      <c r="B481" s="8" t="n">
        <v>10.75</v>
      </c>
      <c r="C481" s="7" t="n">
        <f aca="false">((1+B481/100)^(1/12)-1)*100</f>
        <v>0.85450710394861</v>
      </c>
    </row>
    <row r="482" customFormat="false" ht="15" hidden="false" customHeight="false" outlineLevel="0" collapsed="false">
      <c r="A482" s="6" t="s">
        <v>331</v>
      </c>
      <c r="B482" s="8" t="n">
        <v>10.75</v>
      </c>
      <c r="C482" s="7" t="n">
        <f aca="false">((1+B482/100)^(1/12)-1)*100</f>
        <v>0.85450710394861</v>
      </c>
    </row>
    <row r="483" customFormat="false" ht="15" hidden="false" customHeight="false" outlineLevel="0" collapsed="false">
      <c r="A483" s="6" t="s">
        <v>1081</v>
      </c>
      <c r="B483" s="8" t="n">
        <v>10.75</v>
      </c>
      <c r="C483" s="7" t="n">
        <f aca="false">((1+B483/100)^(1/12)-1)*100</f>
        <v>0.85450710394861</v>
      </c>
    </row>
    <row r="484" customFormat="false" ht="15" hidden="false" customHeight="false" outlineLevel="0" collapsed="false">
      <c r="A484" s="6" t="s">
        <v>1082</v>
      </c>
      <c r="B484" s="8" t="n">
        <v>10.75</v>
      </c>
      <c r="C484" s="7" t="n">
        <f aca="false">((1+B484/100)^(1/12)-1)*100</f>
        <v>0.85450710394861</v>
      </c>
    </row>
    <row r="485" customFormat="false" ht="15" hidden="false" customHeight="false" outlineLevel="0" collapsed="false">
      <c r="A485" s="6" t="s">
        <v>332</v>
      </c>
      <c r="B485" s="8" t="n">
        <v>10.75</v>
      </c>
      <c r="C485" s="7" t="n">
        <f aca="false">((1+B485/100)^(1/12)-1)*100</f>
        <v>0.85450710394861</v>
      </c>
    </row>
    <row r="486" customFormat="false" ht="15" hidden="false" customHeight="false" outlineLevel="0" collapsed="false">
      <c r="A486" s="6" t="s">
        <v>333</v>
      </c>
      <c r="B486" s="8" t="n">
        <v>10.75</v>
      </c>
      <c r="C486" s="7" t="n">
        <f aca="false">((1+B486/100)^(1/12)-1)*100</f>
        <v>0.85450710394861</v>
      </c>
    </row>
    <row r="487" customFormat="false" ht="15" hidden="false" customHeight="false" outlineLevel="0" collapsed="false">
      <c r="A487" s="6" t="s">
        <v>334</v>
      </c>
      <c r="B487" s="8" t="n">
        <v>10.75</v>
      </c>
      <c r="C487" s="7" t="n">
        <f aca="false">((1+B487/100)^(1/12)-1)*100</f>
        <v>0.85450710394861</v>
      </c>
    </row>
    <row r="488" customFormat="false" ht="15" hidden="false" customHeight="false" outlineLevel="0" collapsed="false">
      <c r="A488" s="6" t="s">
        <v>335</v>
      </c>
      <c r="B488" s="8" t="n">
        <v>10.75</v>
      </c>
      <c r="C488" s="7" t="n">
        <f aca="false">((1+B488/100)^(1/12)-1)*100</f>
        <v>0.85450710394861</v>
      </c>
    </row>
    <row r="489" customFormat="false" ht="15" hidden="false" customHeight="false" outlineLevel="0" collapsed="false">
      <c r="A489" s="6" t="s">
        <v>336</v>
      </c>
      <c r="B489" s="8" t="n">
        <v>10.75</v>
      </c>
      <c r="C489" s="7" t="n">
        <f aca="false">((1+B489/100)^(1/12)-1)*100</f>
        <v>0.85450710394861</v>
      </c>
    </row>
    <row r="490" customFormat="false" ht="15" hidden="false" customHeight="false" outlineLevel="0" collapsed="false">
      <c r="A490" s="6" t="s">
        <v>1083</v>
      </c>
      <c r="B490" s="8" t="n">
        <v>10.75</v>
      </c>
      <c r="C490" s="7" t="n">
        <f aca="false">((1+B490/100)^(1/12)-1)*100</f>
        <v>0.85450710394861</v>
      </c>
    </row>
    <row r="491" customFormat="false" ht="15" hidden="false" customHeight="false" outlineLevel="0" collapsed="false">
      <c r="A491" s="6" t="s">
        <v>1084</v>
      </c>
      <c r="B491" s="8" t="n">
        <v>10.75</v>
      </c>
      <c r="C491" s="7" t="n">
        <f aca="false">((1+B491/100)^(1/12)-1)*100</f>
        <v>0.85450710394861</v>
      </c>
    </row>
    <row r="492" customFormat="false" ht="15" hidden="false" customHeight="false" outlineLevel="0" collapsed="false">
      <c r="A492" s="6" t="s">
        <v>337</v>
      </c>
      <c r="B492" s="8" t="n">
        <v>10.75</v>
      </c>
      <c r="C492" s="7" t="n">
        <f aca="false">((1+B492/100)^(1/12)-1)*100</f>
        <v>0.85450710394861</v>
      </c>
    </row>
    <row r="493" customFormat="false" ht="15" hidden="false" customHeight="false" outlineLevel="0" collapsed="false">
      <c r="A493" s="6" t="s">
        <v>338</v>
      </c>
      <c r="B493" s="8" t="n">
        <v>10.75</v>
      </c>
      <c r="C493" s="7" t="n">
        <f aca="false">((1+B493/100)^(1/12)-1)*100</f>
        <v>0.85450710394861</v>
      </c>
    </row>
    <row r="494" customFormat="false" ht="15" hidden="false" customHeight="false" outlineLevel="0" collapsed="false">
      <c r="A494" s="6" t="s">
        <v>1085</v>
      </c>
      <c r="B494" s="8" t="n">
        <v>10.75</v>
      </c>
      <c r="C494" s="7" t="n">
        <f aca="false">((1+B494/100)^(1/12)-1)*100</f>
        <v>0.85450710394861</v>
      </c>
    </row>
    <row r="495" customFormat="false" ht="15" hidden="false" customHeight="false" outlineLevel="0" collapsed="false">
      <c r="A495" s="6" t="s">
        <v>339</v>
      </c>
      <c r="B495" s="8" t="n">
        <v>10.75</v>
      </c>
      <c r="C495" s="7" t="n">
        <f aca="false">((1+B495/100)^(1/12)-1)*100</f>
        <v>0.85450710394861</v>
      </c>
    </row>
    <row r="496" customFormat="false" ht="15" hidden="false" customHeight="false" outlineLevel="0" collapsed="false">
      <c r="A496" s="6" t="s">
        <v>340</v>
      </c>
      <c r="B496" s="8" t="n">
        <v>10.75</v>
      </c>
      <c r="C496" s="7" t="n">
        <f aca="false">((1+B496/100)^(1/12)-1)*100</f>
        <v>0.85450710394861</v>
      </c>
    </row>
    <row r="497" customFormat="false" ht="15" hidden="false" customHeight="false" outlineLevel="0" collapsed="false">
      <c r="A497" s="6" t="s">
        <v>1086</v>
      </c>
      <c r="B497" s="8" t="n">
        <v>10.75</v>
      </c>
      <c r="C497" s="7" t="n">
        <f aca="false">((1+B497/100)^(1/12)-1)*100</f>
        <v>0.85450710394861</v>
      </c>
    </row>
    <row r="498" customFormat="false" ht="15" hidden="false" customHeight="false" outlineLevel="0" collapsed="false">
      <c r="A498" s="6" t="s">
        <v>1087</v>
      </c>
      <c r="B498" s="8" t="n">
        <v>10.75</v>
      </c>
      <c r="C498" s="7" t="n">
        <f aca="false">((1+B498/100)^(1/12)-1)*100</f>
        <v>0.85450710394861</v>
      </c>
    </row>
    <row r="499" customFormat="false" ht="15" hidden="false" customHeight="false" outlineLevel="0" collapsed="false">
      <c r="A499" s="6" t="s">
        <v>341</v>
      </c>
      <c r="B499" s="8" t="n">
        <v>10.75</v>
      </c>
      <c r="C499" s="7" t="n">
        <f aca="false">((1+B499/100)^(1/12)-1)*100</f>
        <v>0.85450710394861</v>
      </c>
    </row>
    <row r="500" customFormat="false" ht="15" hidden="false" customHeight="false" outlineLevel="0" collapsed="false">
      <c r="A500" s="6" t="s">
        <v>342</v>
      </c>
      <c r="B500" s="8" t="n">
        <v>10.75</v>
      </c>
      <c r="C500" s="7" t="n">
        <f aca="false">((1+B500/100)^(1/12)-1)*100</f>
        <v>0.85450710394861</v>
      </c>
    </row>
    <row r="501" customFormat="false" ht="15" hidden="false" customHeight="false" outlineLevel="0" collapsed="false">
      <c r="A501" s="6" t="s">
        <v>343</v>
      </c>
      <c r="B501" s="8" t="n">
        <v>10.75</v>
      </c>
      <c r="C501" s="7" t="n">
        <f aca="false">((1+B501/100)^(1/12)-1)*100</f>
        <v>0.85450710394861</v>
      </c>
    </row>
    <row r="502" customFormat="false" ht="15" hidden="false" customHeight="false" outlineLevel="0" collapsed="false">
      <c r="A502" s="6" t="s">
        <v>344</v>
      </c>
      <c r="B502" s="8" t="n">
        <v>10.5</v>
      </c>
      <c r="C502" s="7" t="n">
        <f aca="false">((1+B502/100)^(1/12)-1)*100</f>
        <v>0.835515568363521</v>
      </c>
    </row>
    <row r="503" customFormat="false" ht="15" hidden="false" customHeight="false" outlineLevel="0" collapsed="false">
      <c r="A503" s="6" t="s">
        <v>345</v>
      </c>
      <c r="B503" s="8" t="n">
        <v>10.5</v>
      </c>
      <c r="C503" s="7" t="n">
        <f aca="false">((1+B503/100)^(1/12)-1)*100</f>
        <v>0.835515568363521</v>
      </c>
    </row>
    <row r="504" customFormat="false" ht="15" hidden="false" customHeight="false" outlineLevel="0" collapsed="false">
      <c r="A504" s="6" t="s">
        <v>1088</v>
      </c>
      <c r="B504" s="8" t="n">
        <v>10.5</v>
      </c>
      <c r="C504" s="7" t="n">
        <f aca="false">((1+B504/100)^(1/12)-1)*100</f>
        <v>0.835515568363521</v>
      </c>
    </row>
    <row r="505" customFormat="false" ht="15" hidden="false" customHeight="false" outlineLevel="0" collapsed="false">
      <c r="A505" s="6" t="s">
        <v>1089</v>
      </c>
      <c r="B505" s="8" t="n">
        <v>10.5</v>
      </c>
      <c r="C505" s="7" t="n">
        <f aca="false">((1+B505/100)^(1/12)-1)*100</f>
        <v>0.835515568363521</v>
      </c>
    </row>
    <row r="506" customFormat="false" ht="15" hidden="false" customHeight="false" outlineLevel="0" collapsed="false">
      <c r="A506" s="6" t="s">
        <v>346</v>
      </c>
      <c r="B506" s="8" t="n">
        <v>10.5</v>
      </c>
      <c r="C506" s="7" t="n">
        <f aca="false">((1+B506/100)^(1/12)-1)*100</f>
        <v>0.835515568363521</v>
      </c>
    </row>
    <row r="507" customFormat="false" ht="15" hidden="false" customHeight="false" outlineLevel="0" collapsed="false">
      <c r="A507" s="6" t="s">
        <v>347</v>
      </c>
      <c r="B507" s="8" t="n">
        <v>10.5</v>
      </c>
      <c r="C507" s="7" t="n">
        <f aca="false">((1+B507/100)^(1/12)-1)*100</f>
        <v>0.835515568363521</v>
      </c>
    </row>
    <row r="508" customFormat="false" ht="15" hidden="false" customHeight="false" outlineLevel="0" collapsed="false">
      <c r="A508" s="6" t="s">
        <v>348</v>
      </c>
      <c r="B508" s="8" t="n">
        <v>10.5</v>
      </c>
      <c r="C508" s="7" t="n">
        <f aca="false">((1+B508/100)^(1/12)-1)*100</f>
        <v>0.835515568363521</v>
      </c>
    </row>
    <row r="509" customFormat="false" ht="15" hidden="false" customHeight="false" outlineLevel="0" collapsed="false">
      <c r="A509" s="6" t="s">
        <v>349</v>
      </c>
      <c r="B509" s="8" t="n">
        <v>10.5</v>
      </c>
      <c r="C509" s="7" t="n">
        <f aca="false">((1+B509/100)^(1/12)-1)*100</f>
        <v>0.835515568363521</v>
      </c>
    </row>
    <row r="510" customFormat="false" ht="15" hidden="false" customHeight="false" outlineLevel="0" collapsed="false">
      <c r="A510" s="6" t="s">
        <v>350</v>
      </c>
      <c r="B510" s="8" t="n">
        <v>10.5</v>
      </c>
      <c r="C510" s="7" t="n">
        <f aca="false">((1+B510/100)^(1/12)-1)*100</f>
        <v>0.835515568363521</v>
      </c>
    </row>
    <row r="511" customFormat="false" ht="15" hidden="false" customHeight="false" outlineLevel="0" collapsed="false">
      <c r="A511" s="6" t="s">
        <v>1090</v>
      </c>
      <c r="B511" s="8" t="n">
        <v>10.5</v>
      </c>
      <c r="C511" s="7" t="n">
        <f aca="false">((1+B511/100)^(1/12)-1)*100</f>
        <v>0.835515568363521</v>
      </c>
    </row>
    <row r="512" customFormat="false" ht="15" hidden="false" customHeight="false" outlineLevel="0" collapsed="false">
      <c r="A512" s="6" t="s">
        <v>1091</v>
      </c>
      <c r="B512" s="8" t="n">
        <v>10.5</v>
      </c>
      <c r="C512" s="7" t="n">
        <f aca="false">((1+B512/100)^(1/12)-1)*100</f>
        <v>0.835515568363521</v>
      </c>
    </row>
    <row r="513" customFormat="false" ht="15" hidden="false" customHeight="false" outlineLevel="0" collapsed="false">
      <c r="A513" s="6" t="s">
        <v>351</v>
      </c>
      <c r="B513" s="8" t="n">
        <v>10.5</v>
      </c>
      <c r="C513" s="7" t="n">
        <f aca="false">((1+B513/100)^(1/12)-1)*100</f>
        <v>0.835515568363521</v>
      </c>
    </row>
    <row r="514" customFormat="false" ht="15" hidden="false" customHeight="false" outlineLevel="0" collapsed="false">
      <c r="A514" s="6" t="s">
        <v>352</v>
      </c>
      <c r="B514" s="8" t="n">
        <v>10.5</v>
      </c>
      <c r="C514" s="7" t="n">
        <f aca="false">((1+B514/100)^(1/12)-1)*100</f>
        <v>0.835515568363521</v>
      </c>
    </row>
    <row r="515" customFormat="false" ht="15" hidden="false" customHeight="false" outlineLevel="0" collapsed="false">
      <c r="A515" s="6" t="s">
        <v>353</v>
      </c>
      <c r="B515" s="8" t="n">
        <v>10.5</v>
      </c>
      <c r="C515" s="7" t="n">
        <f aca="false">((1+B515/100)^(1/12)-1)*100</f>
        <v>0.835515568363521</v>
      </c>
    </row>
    <row r="516" customFormat="false" ht="15" hidden="false" customHeight="false" outlineLevel="0" collapsed="false">
      <c r="A516" s="6" t="s">
        <v>354</v>
      </c>
      <c r="B516" s="8" t="n">
        <v>10.5</v>
      </c>
      <c r="C516" s="7" t="n">
        <f aca="false">((1+B516/100)^(1/12)-1)*100</f>
        <v>0.835515568363521</v>
      </c>
    </row>
    <row r="517" customFormat="false" ht="15" hidden="false" customHeight="false" outlineLevel="0" collapsed="false">
      <c r="A517" s="6" t="s">
        <v>355</v>
      </c>
      <c r="B517" s="8" t="n">
        <v>10.5</v>
      </c>
      <c r="C517" s="7" t="n">
        <f aca="false">((1+B517/100)^(1/12)-1)*100</f>
        <v>0.835515568363521</v>
      </c>
    </row>
    <row r="518" customFormat="false" ht="15" hidden="false" customHeight="false" outlineLevel="0" collapsed="false">
      <c r="A518" s="6" t="s">
        <v>1092</v>
      </c>
      <c r="B518" s="8" t="n">
        <v>10.5</v>
      </c>
      <c r="C518" s="7" t="n">
        <f aca="false">((1+B518/100)^(1/12)-1)*100</f>
        <v>0.835515568363521</v>
      </c>
    </row>
    <row r="519" customFormat="false" ht="15" hidden="false" customHeight="false" outlineLevel="0" collapsed="false">
      <c r="A519" s="6" t="s">
        <v>1093</v>
      </c>
      <c r="B519" s="8" t="n">
        <v>10.5</v>
      </c>
      <c r="C519" s="7" t="n">
        <f aca="false">((1+B519/100)^(1/12)-1)*100</f>
        <v>0.835515568363521</v>
      </c>
    </row>
    <row r="520" customFormat="false" ht="15" hidden="false" customHeight="false" outlineLevel="0" collapsed="false">
      <c r="A520" s="6" t="s">
        <v>356</v>
      </c>
      <c r="B520" s="8" t="n">
        <v>10.5</v>
      </c>
      <c r="C520" s="7" t="n">
        <f aca="false">((1+B520/100)^(1/12)-1)*100</f>
        <v>0.835515568363521</v>
      </c>
    </row>
    <row r="521" customFormat="false" ht="15" hidden="false" customHeight="false" outlineLevel="0" collapsed="false">
      <c r="A521" s="6" t="s">
        <v>357</v>
      </c>
      <c r="B521" s="8" t="n">
        <v>10.5</v>
      </c>
      <c r="C521" s="7" t="n">
        <f aca="false">((1+B521/100)^(1/12)-1)*100</f>
        <v>0.835515568363521</v>
      </c>
    </row>
    <row r="522" customFormat="false" ht="15" hidden="false" customHeight="false" outlineLevel="0" collapsed="false">
      <c r="A522" s="6" t="s">
        <v>358</v>
      </c>
      <c r="B522" s="8" t="n">
        <v>10.5</v>
      </c>
      <c r="C522" s="7" t="n">
        <f aca="false">((1+B522/100)^(1/12)-1)*100</f>
        <v>0.835515568363521</v>
      </c>
    </row>
    <row r="523" customFormat="false" ht="15" hidden="false" customHeight="false" outlineLevel="0" collapsed="false">
      <c r="A523" s="6" t="s">
        <v>1094</v>
      </c>
      <c r="B523" s="8" t="n">
        <v>10.5</v>
      </c>
      <c r="C523" s="7" t="n">
        <f aca="false">((1+B523/100)^(1/12)-1)*100</f>
        <v>0.835515568363521</v>
      </c>
    </row>
    <row r="524" customFormat="false" ht="15" hidden="false" customHeight="false" outlineLevel="0" collapsed="false">
      <c r="A524" s="6" t="s">
        <v>359</v>
      </c>
      <c r="B524" s="8" t="n">
        <v>10.5</v>
      </c>
      <c r="C524" s="7" t="n">
        <f aca="false">((1+B524/100)^(1/12)-1)*100</f>
        <v>0.835515568363521</v>
      </c>
    </row>
    <row r="525" customFormat="false" ht="15" hidden="false" customHeight="false" outlineLevel="0" collapsed="false">
      <c r="A525" s="6" t="s">
        <v>1095</v>
      </c>
      <c r="B525" s="8" t="n">
        <v>10.5</v>
      </c>
      <c r="C525" s="7" t="n">
        <f aca="false">((1+B525/100)^(1/12)-1)*100</f>
        <v>0.835515568363521</v>
      </c>
    </row>
    <row r="526" customFormat="false" ht="15" hidden="false" customHeight="false" outlineLevel="0" collapsed="false">
      <c r="A526" s="6" t="s">
        <v>1096</v>
      </c>
      <c r="B526" s="8" t="n">
        <v>10.5</v>
      </c>
      <c r="C526" s="7" t="n">
        <f aca="false">((1+B526/100)^(1/12)-1)*100</f>
        <v>0.835515568363521</v>
      </c>
    </row>
    <row r="527" customFormat="false" ht="15" hidden="false" customHeight="false" outlineLevel="0" collapsed="false">
      <c r="A527" s="6" t="s">
        <v>360</v>
      </c>
      <c r="B527" s="8" t="n">
        <v>10.5</v>
      </c>
      <c r="C527" s="7" t="n">
        <f aca="false">((1+B527/100)^(1/12)-1)*100</f>
        <v>0.835515568363521</v>
      </c>
    </row>
    <row r="528" customFormat="false" ht="15" hidden="false" customHeight="false" outlineLevel="0" collapsed="false">
      <c r="A528" s="6" t="s">
        <v>361</v>
      </c>
      <c r="B528" s="8" t="n">
        <v>10.5</v>
      </c>
      <c r="C528" s="7" t="n">
        <f aca="false">((1+B528/100)^(1/12)-1)*100</f>
        <v>0.835515568363521</v>
      </c>
    </row>
    <row r="529" customFormat="false" ht="15" hidden="false" customHeight="false" outlineLevel="0" collapsed="false">
      <c r="A529" s="6" t="s">
        <v>362</v>
      </c>
      <c r="B529" s="8" t="n">
        <v>10.5</v>
      </c>
      <c r="C529" s="7" t="n">
        <f aca="false">((1+B529/100)^(1/12)-1)*100</f>
        <v>0.835515568363521</v>
      </c>
    </row>
    <row r="530" customFormat="false" ht="15" hidden="false" customHeight="false" outlineLevel="0" collapsed="false">
      <c r="A530" s="6" t="s">
        <v>363</v>
      </c>
      <c r="B530" s="8" t="n">
        <v>10.5</v>
      </c>
      <c r="C530" s="7" t="n">
        <f aca="false">((1+B530/100)^(1/12)-1)*100</f>
        <v>0.835515568363521</v>
      </c>
    </row>
    <row r="531" customFormat="false" ht="15" hidden="false" customHeight="false" outlineLevel="0" collapsed="false">
      <c r="A531" s="6" t="s">
        <v>364</v>
      </c>
      <c r="B531" s="8" t="n">
        <v>10.5</v>
      </c>
      <c r="C531" s="7" t="n">
        <f aca="false">((1+B531/100)^(1/12)-1)*100</f>
        <v>0.835515568363521</v>
      </c>
    </row>
    <row r="532" customFormat="false" ht="15" hidden="false" customHeight="false" outlineLevel="0" collapsed="false">
      <c r="A532" s="6" t="s">
        <v>1097</v>
      </c>
      <c r="B532" s="8" t="n">
        <v>10.5</v>
      </c>
      <c r="C532" s="7" t="n">
        <f aca="false">((1+B532/100)^(1/12)-1)*100</f>
        <v>0.835515568363521</v>
      </c>
    </row>
    <row r="533" customFormat="false" ht="15" hidden="false" customHeight="false" outlineLevel="0" collapsed="false">
      <c r="A533" s="6" t="s">
        <v>1098</v>
      </c>
      <c r="B533" s="8" t="n">
        <v>10.5</v>
      </c>
      <c r="C533" s="7" t="n">
        <f aca="false">((1+B533/100)^(1/12)-1)*100</f>
        <v>0.835515568363521</v>
      </c>
    </row>
    <row r="534" customFormat="false" ht="15" hidden="false" customHeight="false" outlineLevel="0" collapsed="false">
      <c r="A534" s="6" t="s">
        <v>365</v>
      </c>
      <c r="B534" s="8" t="n">
        <v>10.5</v>
      </c>
      <c r="C534" s="7" t="n">
        <f aca="false">((1+B534/100)^(1/12)-1)*100</f>
        <v>0.835515568363521</v>
      </c>
    </row>
    <row r="535" customFormat="false" ht="15" hidden="false" customHeight="false" outlineLevel="0" collapsed="false">
      <c r="A535" s="6" t="s">
        <v>366</v>
      </c>
      <c r="B535" s="8" t="n">
        <v>10.5</v>
      </c>
      <c r="C535" s="7" t="n">
        <f aca="false">((1+B535/100)^(1/12)-1)*100</f>
        <v>0.835515568363521</v>
      </c>
    </row>
    <row r="536" customFormat="false" ht="15" hidden="false" customHeight="false" outlineLevel="0" collapsed="false">
      <c r="A536" s="6" t="s">
        <v>367</v>
      </c>
      <c r="B536" s="8" t="n">
        <v>10.5</v>
      </c>
      <c r="C536" s="7" t="n">
        <f aca="false">((1+B536/100)^(1/12)-1)*100</f>
        <v>0.835515568363521</v>
      </c>
    </row>
    <row r="537" customFormat="false" ht="15" hidden="false" customHeight="false" outlineLevel="0" collapsed="false">
      <c r="A537" s="6" t="s">
        <v>368</v>
      </c>
      <c r="B537" s="8" t="n">
        <v>10.5</v>
      </c>
      <c r="C537" s="7" t="n">
        <f aca="false">((1+B537/100)^(1/12)-1)*100</f>
        <v>0.835515568363521</v>
      </c>
    </row>
    <row r="538" customFormat="false" ht="15" hidden="false" customHeight="false" outlineLevel="0" collapsed="false">
      <c r="A538" s="6" t="s">
        <v>369</v>
      </c>
      <c r="B538" s="8" t="n">
        <v>10.5</v>
      </c>
      <c r="C538" s="7" t="n">
        <f aca="false">((1+B538/100)^(1/12)-1)*100</f>
        <v>0.835515568363521</v>
      </c>
    </row>
    <row r="539" customFormat="false" ht="15" hidden="false" customHeight="false" outlineLevel="0" collapsed="false">
      <c r="A539" s="6" t="s">
        <v>1099</v>
      </c>
      <c r="B539" s="8" t="n">
        <v>10.5</v>
      </c>
      <c r="C539" s="7" t="n">
        <f aca="false">((1+B539/100)^(1/12)-1)*100</f>
        <v>0.835515568363521</v>
      </c>
    </row>
    <row r="540" customFormat="false" ht="15" hidden="false" customHeight="false" outlineLevel="0" collapsed="false">
      <c r="A540" s="6" t="s">
        <v>1100</v>
      </c>
      <c r="B540" s="8" t="n">
        <v>10.5</v>
      </c>
      <c r="C540" s="7" t="n">
        <f aca="false">((1+B540/100)^(1/12)-1)*100</f>
        <v>0.835515568363521</v>
      </c>
    </row>
    <row r="541" customFormat="false" ht="15" hidden="false" customHeight="false" outlineLevel="0" collapsed="false">
      <c r="A541" s="6" t="s">
        <v>370</v>
      </c>
      <c r="B541" s="8" t="n">
        <v>10.5</v>
      </c>
      <c r="C541" s="7" t="n">
        <f aca="false">((1+B541/100)^(1/12)-1)*100</f>
        <v>0.835515568363521</v>
      </c>
    </row>
    <row r="542" customFormat="false" ht="15" hidden="false" customHeight="false" outlineLevel="0" collapsed="false">
      <c r="A542" s="6" t="s">
        <v>371</v>
      </c>
      <c r="B542" s="8" t="n">
        <v>10.5</v>
      </c>
      <c r="C542" s="7" t="n">
        <f aca="false">((1+B542/100)^(1/12)-1)*100</f>
        <v>0.835515568363521</v>
      </c>
    </row>
    <row r="543" customFormat="false" ht="15" hidden="false" customHeight="false" outlineLevel="0" collapsed="false">
      <c r="A543" s="6" t="s">
        <v>372</v>
      </c>
      <c r="B543" s="8" t="n">
        <v>10.5</v>
      </c>
      <c r="C543" s="7" t="n">
        <f aca="false">((1+B543/100)^(1/12)-1)*100</f>
        <v>0.835515568363521</v>
      </c>
    </row>
    <row r="544" customFormat="false" ht="15" hidden="false" customHeight="false" outlineLevel="0" collapsed="false">
      <c r="A544" s="6" t="s">
        <v>373</v>
      </c>
      <c r="B544" s="8" t="n">
        <v>10.5</v>
      </c>
      <c r="C544" s="7" t="n">
        <f aca="false">((1+B544/100)^(1/12)-1)*100</f>
        <v>0.835515568363521</v>
      </c>
    </row>
    <row r="545" customFormat="false" ht="15" hidden="false" customHeight="false" outlineLevel="0" collapsed="false">
      <c r="A545" s="6" t="s">
        <v>374</v>
      </c>
      <c r="B545" s="8" t="n">
        <v>10.5</v>
      </c>
      <c r="C545" s="7" t="n">
        <f aca="false">((1+B545/100)^(1/12)-1)*100</f>
        <v>0.835515568363521</v>
      </c>
    </row>
    <row r="546" customFormat="false" ht="15" hidden="false" customHeight="false" outlineLevel="0" collapsed="false">
      <c r="A546" s="6" t="s">
        <v>1101</v>
      </c>
      <c r="B546" s="8" t="n">
        <v>10.5</v>
      </c>
      <c r="C546" s="7" t="n">
        <f aca="false">((1+B546/100)^(1/12)-1)*100</f>
        <v>0.835515568363521</v>
      </c>
    </row>
    <row r="547" customFormat="false" ht="15" hidden="false" customHeight="false" outlineLevel="0" collapsed="false">
      <c r="A547" s="6" t="s">
        <v>1102</v>
      </c>
      <c r="B547" s="8" t="n">
        <v>10.5</v>
      </c>
      <c r="C547" s="7" t="n">
        <f aca="false">((1+B547/100)^(1/12)-1)*100</f>
        <v>0.835515568363521</v>
      </c>
    </row>
    <row r="548" customFormat="false" ht="15" hidden="false" customHeight="false" outlineLevel="0" collapsed="false">
      <c r="A548" s="6" t="s">
        <v>375</v>
      </c>
      <c r="B548" s="8" t="n">
        <v>10.5</v>
      </c>
      <c r="C548" s="7" t="n">
        <f aca="false">((1+B548/100)^(1/12)-1)*100</f>
        <v>0.835515568363521</v>
      </c>
    </row>
    <row r="549" customFormat="false" ht="15" hidden="false" customHeight="false" outlineLevel="0" collapsed="false">
      <c r="A549" s="6" t="s">
        <v>376</v>
      </c>
      <c r="B549" s="8" t="n">
        <v>10.5</v>
      </c>
      <c r="C549" s="7" t="n">
        <f aca="false">((1+B549/100)^(1/12)-1)*100</f>
        <v>0.835515568363521</v>
      </c>
    </row>
    <row r="550" customFormat="false" ht="15" hidden="false" customHeight="false" outlineLevel="0" collapsed="false">
      <c r="A550" s="6" t="s">
        <v>377</v>
      </c>
      <c r="B550" s="8" t="n">
        <v>10.5</v>
      </c>
      <c r="C550" s="7" t="n">
        <f aca="false">((1+B550/100)^(1/12)-1)*100</f>
        <v>0.835515568363521</v>
      </c>
    </row>
    <row r="551" customFormat="false" ht="15" hidden="false" customHeight="false" outlineLevel="0" collapsed="false">
      <c r="A551" s="6" t="s">
        <v>378</v>
      </c>
      <c r="B551" s="8" t="n">
        <v>10.5</v>
      </c>
      <c r="C551" s="7" t="n">
        <f aca="false">((1+B551/100)^(1/12)-1)*100</f>
        <v>0.835515568363521</v>
      </c>
    </row>
    <row r="552" customFormat="false" ht="15" hidden="false" customHeight="false" outlineLevel="0" collapsed="false">
      <c r="A552" s="6" t="s">
        <v>379</v>
      </c>
      <c r="B552" s="8" t="n">
        <v>10.5</v>
      </c>
      <c r="C552" s="7" t="n">
        <f aca="false">((1+B552/100)^(1/12)-1)*100</f>
        <v>0.835515568363521</v>
      </c>
    </row>
    <row r="553" customFormat="false" ht="15" hidden="false" customHeight="false" outlineLevel="0" collapsed="false">
      <c r="A553" s="6" t="s">
        <v>1103</v>
      </c>
      <c r="B553" s="8" t="n">
        <v>10.5</v>
      </c>
      <c r="C553" s="7" t="n">
        <f aca="false">((1+B553/100)^(1/12)-1)*100</f>
        <v>0.835515568363521</v>
      </c>
    </row>
    <row r="554" customFormat="false" ht="15" hidden="false" customHeight="false" outlineLevel="0" collapsed="false">
      <c r="A554" s="6" t="s">
        <v>1104</v>
      </c>
      <c r="B554" s="8" t="n">
        <v>10.5</v>
      </c>
      <c r="C554" s="7" t="n">
        <f aca="false">((1+B554/100)^(1/12)-1)*100</f>
        <v>0.835515568363521</v>
      </c>
    </row>
    <row r="555" customFormat="false" ht="15" hidden="false" customHeight="false" outlineLevel="0" collapsed="false">
      <c r="A555" s="6" t="s">
        <v>380</v>
      </c>
      <c r="B555" s="8" t="n">
        <v>10.5</v>
      </c>
      <c r="C555" s="7" t="n">
        <f aca="false">((1+B555/100)^(1/12)-1)*100</f>
        <v>0.835515568363521</v>
      </c>
    </row>
    <row r="556" customFormat="false" ht="15" hidden="false" customHeight="false" outlineLevel="0" collapsed="false">
      <c r="A556" s="6" t="s">
        <v>381</v>
      </c>
      <c r="B556" s="8" t="n">
        <v>10.5</v>
      </c>
      <c r="C556" s="7" t="n">
        <f aca="false">((1+B556/100)^(1/12)-1)*100</f>
        <v>0.835515568363521</v>
      </c>
    </row>
    <row r="557" customFormat="false" ht="15" hidden="false" customHeight="false" outlineLevel="0" collapsed="false">
      <c r="A557" s="6" t="s">
        <v>382</v>
      </c>
      <c r="B557" s="8" t="n">
        <v>10.5</v>
      </c>
      <c r="C557" s="7" t="n">
        <f aca="false">((1+B557/100)^(1/12)-1)*100</f>
        <v>0.835515568363521</v>
      </c>
    </row>
    <row r="558" customFormat="false" ht="15" hidden="false" customHeight="false" outlineLevel="0" collapsed="false">
      <c r="A558" s="6" t="s">
        <v>383</v>
      </c>
      <c r="B558" s="8" t="n">
        <v>10.5</v>
      </c>
      <c r="C558" s="7" t="n">
        <f aca="false">((1+B558/100)^(1/12)-1)*100</f>
        <v>0.835515568363521</v>
      </c>
    </row>
    <row r="559" customFormat="false" ht="15" hidden="false" customHeight="false" outlineLevel="0" collapsed="false">
      <c r="A559" s="6" t="s">
        <v>384</v>
      </c>
      <c r="B559" s="8" t="n">
        <v>10.5</v>
      </c>
      <c r="C559" s="7" t="n">
        <f aca="false">((1+B559/100)^(1/12)-1)*100</f>
        <v>0.835515568363521</v>
      </c>
    </row>
    <row r="560" customFormat="false" ht="15" hidden="false" customHeight="false" outlineLevel="0" collapsed="false">
      <c r="A560" s="6" t="s">
        <v>1105</v>
      </c>
      <c r="B560" s="8" t="n">
        <v>10.5</v>
      </c>
      <c r="C560" s="7" t="n">
        <f aca="false">((1+B560/100)^(1/12)-1)*100</f>
        <v>0.835515568363521</v>
      </c>
    </row>
    <row r="561" customFormat="false" ht="15" hidden="false" customHeight="false" outlineLevel="0" collapsed="false">
      <c r="A561" s="6" t="s">
        <v>1106</v>
      </c>
      <c r="B561" s="8" t="n">
        <v>10.5</v>
      </c>
      <c r="C561" s="7" t="n">
        <f aca="false">((1+B561/100)^(1/12)-1)*100</f>
        <v>0.835515568363521</v>
      </c>
    </row>
    <row r="562" customFormat="false" ht="15" hidden="false" customHeight="false" outlineLevel="0" collapsed="false">
      <c r="A562" s="6" t="s">
        <v>385</v>
      </c>
      <c r="B562" s="8" t="n">
        <v>10.5</v>
      </c>
      <c r="C562" s="7" t="n">
        <f aca="false">((1+B562/100)^(1/12)-1)*100</f>
        <v>0.835515568363521</v>
      </c>
    </row>
    <row r="563" customFormat="false" ht="15" hidden="false" customHeight="false" outlineLevel="0" collapsed="false">
      <c r="A563" s="6" t="s">
        <v>386</v>
      </c>
      <c r="B563" s="8" t="n">
        <v>10.5</v>
      </c>
      <c r="C563" s="7" t="n">
        <f aca="false">((1+B563/100)^(1/12)-1)*100</f>
        <v>0.835515568363521</v>
      </c>
    </row>
    <row r="564" customFormat="false" ht="15" hidden="false" customHeight="false" outlineLevel="0" collapsed="false">
      <c r="A564" s="6" t="s">
        <v>387</v>
      </c>
      <c r="B564" s="8" t="n">
        <v>10.5</v>
      </c>
      <c r="C564" s="7" t="n">
        <f aca="false">((1+B564/100)^(1/12)-1)*100</f>
        <v>0.835515568363521</v>
      </c>
    </row>
    <row r="565" customFormat="false" ht="15" hidden="false" customHeight="false" outlineLevel="0" collapsed="false">
      <c r="A565" s="6" t="s">
        <v>388</v>
      </c>
      <c r="B565" s="8" t="n">
        <v>10.5</v>
      </c>
      <c r="C565" s="7" t="n">
        <f aca="false">((1+B565/100)^(1/12)-1)*100</f>
        <v>0.835515568363521</v>
      </c>
    </row>
    <row r="566" customFormat="false" ht="15" hidden="false" customHeight="false" outlineLevel="0" collapsed="false">
      <c r="A566" s="6" t="s">
        <v>389</v>
      </c>
      <c r="B566" s="8" t="n">
        <v>10.5</v>
      </c>
      <c r="C566" s="7" t="n">
        <f aca="false">((1+B566/100)^(1/12)-1)*100</f>
        <v>0.835515568363521</v>
      </c>
    </row>
    <row r="567" customFormat="false" ht="15" hidden="false" customHeight="false" outlineLevel="0" collapsed="false">
      <c r="A567" s="6" t="s">
        <v>1107</v>
      </c>
      <c r="B567" s="8" t="n">
        <v>10.5</v>
      </c>
      <c r="C567" s="7" t="n">
        <f aca="false">((1+B567/100)^(1/12)-1)*100</f>
        <v>0.835515568363521</v>
      </c>
    </row>
    <row r="568" customFormat="false" ht="15" hidden="false" customHeight="false" outlineLevel="0" collapsed="false">
      <c r="A568" s="6" t="s">
        <v>1108</v>
      </c>
      <c r="B568" s="8" t="n">
        <v>10.5</v>
      </c>
      <c r="C568" s="7" t="n">
        <f aca="false">((1+B568/100)^(1/12)-1)*100</f>
        <v>0.835515568363521</v>
      </c>
    </row>
    <row r="569" customFormat="false" ht="15" hidden="false" customHeight="false" outlineLevel="0" collapsed="false">
      <c r="A569" s="6" t="s">
        <v>390</v>
      </c>
      <c r="B569" s="8" t="n">
        <v>10.5</v>
      </c>
      <c r="C569" s="7" t="n">
        <f aca="false">((1+B569/100)^(1/12)-1)*100</f>
        <v>0.835515568363521</v>
      </c>
    </row>
    <row r="570" customFormat="false" ht="15" hidden="false" customHeight="false" outlineLevel="0" collapsed="false">
      <c r="A570" s="6" t="s">
        <v>391</v>
      </c>
      <c r="B570" s="8" t="n">
        <v>10.5</v>
      </c>
      <c r="C570" s="7" t="n">
        <f aca="false">((1+B570/100)^(1/12)-1)*100</f>
        <v>0.835515568363521</v>
      </c>
    </row>
    <row r="571" customFormat="false" ht="15" hidden="false" customHeight="false" outlineLevel="0" collapsed="false">
      <c r="A571" s="6" t="s">
        <v>392</v>
      </c>
      <c r="B571" s="8" t="n">
        <v>10.5</v>
      </c>
      <c r="C571" s="7" t="n">
        <f aca="false">((1+B571/100)^(1/12)-1)*100</f>
        <v>0.835515568363521</v>
      </c>
    </row>
    <row r="572" customFormat="false" ht="15" hidden="false" customHeight="false" outlineLevel="0" collapsed="false">
      <c r="A572" s="6" t="s">
        <v>393</v>
      </c>
      <c r="B572" s="8" t="n">
        <v>10.5</v>
      </c>
      <c r="C572" s="7" t="n">
        <f aca="false">((1+B572/100)^(1/12)-1)*100</f>
        <v>0.835515568363521</v>
      </c>
    </row>
    <row r="573" customFormat="false" ht="15" hidden="false" customHeight="false" outlineLevel="0" collapsed="false">
      <c r="A573" s="6" t="s">
        <v>394</v>
      </c>
      <c r="B573" s="8" t="n">
        <v>10.5</v>
      </c>
      <c r="C573" s="7" t="n">
        <f aca="false">((1+B573/100)^(1/12)-1)*100</f>
        <v>0.835515568363521</v>
      </c>
    </row>
    <row r="574" customFormat="false" ht="15" hidden="false" customHeight="false" outlineLevel="0" collapsed="false">
      <c r="A574" s="6" t="s">
        <v>1109</v>
      </c>
      <c r="B574" s="8" t="n">
        <v>10.5</v>
      </c>
      <c r="C574" s="7" t="n">
        <f aca="false">((1+B574/100)^(1/12)-1)*100</f>
        <v>0.835515568363521</v>
      </c>
    </row>
    <row r="575" customFormat="false" ht="15" hidden="false" customHeight="false" outlineLevel="0" collapsed="false">
      <c r="A575" s="6" t="s">
        <v>1110</v>
      </c>
      <c r="B575" s="8" t="n">
        <v>10.5</v>
      </c>
      <c r="C575" s="7" t="n">
        <f aca="false">((1+B575/100)^(1/12)-1)*100</f>
        <v>0.835515568363521</v>
      </c>
    </row>
    <row r="576" customFormat="false" ht="15" hidden="false" customHeight="false" outlineLevel="0" collapsed="false">
      <c r="A576" s="6" t="s">
        <v>395</v>
      </c>
      <c r="B576" s="8" t="n">
        <v>10.5</v>
      </c>
      <c r="C576" s="7" t="n">
        <f aca="false">((1+B576/100)^(1/12)-1)*100</f>
        <v>0.835515568363521</v>
      </c>
    </row>
    <row r="577" customFormat="false" ht="15" hidden="false" customHeight="false" outlineLevel="0" collapsed="false">
      <c r="A577" s="6" t="s">
        <v>396</v>
      </c>
      <c r="B577" s="8" t="n">
        <v>10.5</v>
      </c>
      <c r="C577" s="7" t="n">
        <f aca="false">((1+B577/100)^(1/12)-1)*100</f>
        <v>0.835515568363521</v>
      </c>
    </row>
    <row r="578" customFormat="false" ht="15" hidden="false" customHeight="false" outlineLevel="0" collapsed="false">
      <c r="A578" s="6" t="s">
        <v>397</v>
      </c>
      <c r="B578" s="8" t="n">
        <v>10.5</v>
      </c>
      <c r="C578" s="7" t="n">
        <f aca="false">((1+B578/100)^(1/12)-1)*100</f>
        <v>0.835515568363521</v>
      </c>
    </row>
    <row r="579" customFormat="false" ht="15" hidden="false" customHeight="false" outlineLevel="0" collapsed="false">
      <c r="A579" s="6" t="s">
        <v>398</v>
      </c>
      <c r="B579" s="8" t="n">
        <v>10.5</v>
      </c>
      <c r="C579" s="7" t="n">
        <f aca="false">((1+B579/100)^(1/12)-1)*100</f>
        <v>0.835515568363521</v>
      </c>
    </row>
    <row r="580" customFormat="false" ht="15" hidden="false" customHeight="false" outlineLevel="0" collapsed="false">
      <c r="A580" s="6" t="s">
        <v>399</v>
      </c>
      <c r="B580" s="8" t="n">
        <v>10.5</v>
      </c>
      <c r="C580" s="7" t="n">
        <f aca="false">((1+B580/100)^(1/12)-1)*100</f>
        <v>0.835515568363521</v>
      </c>
    </row>
    <row r="581" customFormat="false" ht="15" hidden="false" customHeight="false" outlineLevel="0" collapsed="false">
      <c r="A581" s="6" t="s">
        <v>1111</v>
      </c>
      <c r="B581" s="8" t="n">
        <v>10.5</v>
      </c>
      <c r="C581" s="7" t="n">
        <f aca="false">((1+B581/100)^(1/12)-1)*100</f>
        <v>0.835515568363521</v>
      </c>
    </row>
    <row r="582" customFormat="false" ht="15" hidden="false" customHeight="false" outlineLevel="0" collapsed="false">
      <c r="A582" s="6" t="s">
        <v>1112</v>
      </c>
      <c r="B582" s="8" t="n">
        <v>10.5</v>
      </c>
      <c r="C582" s="7" t="n">
        <f aca="false">((1+B582/100)^(1/12)-1)*100</f>
        <v>0.835515568363521</v>
      </c>
    </row>
    <row r="583" customFormat="false" ht="15" hidden="false" customHeight="false" outlineLevel="0" collapsed="false">
      <c r="A583" s="6" t="s">
        <v>400</v>
      </c>
      <c r="B583" s="8" t="n">
        <v>10.5</v>
      </c>
      <c r="C583" s="7" t="n">
        <f aca="false">((1+B583/100)^(1/12)-1)*100</f>
        <v>0.835515568363521</v>
      </c>
    </row>
    <row r="584" customFormat="false" ht="15" hidden="false" customHeight="false" outlineLevel="0" collapsed="false">
      <c r="A584" s="6" t="s">
        <v>401</v>
      </c>
      <c r="B584" s="8" t="n">
        <v>10.5</v>
      </c>
      <c r="C584" s="7" t="n">
        <f aca="false">((1+B584/100)^(1/12)-1)*100</f>
        <v>0.835515568363521</v>
      </c>
    </row>
    <row r="585" customFormat="false" ht="15" hidden="false" customHeight="false" outlineLevel="0" collapsed="false">
      <c r="A585" s="6" t="s">
        <v>402</v>
      </c>
      <c r="B585" s="8" t="n">
        <v>10.5</v>
      </c>
      <c r="C585" s="7" t="n">
        <f aca="false">((1+B585/100)^(1/12)-1)*100</f>
        <v>0.835515568363521</v>
      </c>
    </row>
    <row r="586" customFormat="false" ht="15" hidden="false" customHeight="false" outlineLevel="0" collapsed="false">
      <c r="A586" s="6" t="s">
        <v>403</v>
      </c>
      <c r="B586" s="8" t="n">
        <v>10.5</v>
      </c>
      <c r="C586" s="7" t="n">
        <f aca="false">((1+B586/100)^(1/12)-1)*100</f>
        <v>0.835515568363521</v>
      </c>
    </row>
    <row r="587" customFormat="false" ht="15" hidden="false" customHeight="false" outlineLevel="0" collapsed="false">
      <c r="A587" s="6" t="s">
        <v>404</v>
      </c>
      <c r="B587" s="8" t="n">
        <v>10.5</v>
      </c>
      <c r="C587" s="7" t="n">
        <f aca="false">((1+B587/100)^(1/12)-1)*100</f>
        <v>0.835515568363521</v>
      </c>
    </row>
    <row r="588" customFormat="false" ht="15" hidden="false" customHeight="false" outlineLevel="0" collapsed="false">
      <c r="A588" s="6" t="s">
        <v>1113</v>
      </c>
      <c r="B588" s="8" t="n">
        <v>10.5</v>
      </c>
      <c r="C588" s="7" t="n">
        <f aca="false">((1+B588/100)^(1/12)-1)*100</f>
        <v>0.835515568363521</v>
      </c>
    </row>
    <row r="589" customFormat="false" ht="15" hidden="false" customHeight="false" outlineLevel="0" collapsed="false">
      <c r="A589" s="6" t="s">
        <v>1114</v>
      </c>
      <c r="B589" s="8" t="n">
        <v>10.5</v>
      </c>
      <c r="C589" s="7" t="n">
        <f aca="false">((1+B589/100)^(1/12)-1)*100</f>
        <v>0.835515568363521</v>
      </c>
    </row>
    <row r="590" customFormat="false" ht="15" hidden="false" customHeight="false" outlineLevel="0" collapsed="false">
      <c r="A590" s="6" t="s">
        <v>405</v>
      </c>
      <c r="B590" s="8" t="n">
        <v>10.5</v>
      </c>
      <c r="C590" s="7" t="n">
        <f aca="false">((1+B590/100)^(1/12)-1)*100</f>
        <v>0.835515568363521</v>
      </c>
    </row>
    <row r="591" customFormat="false" ht="15" hidden="false" customHeight="false" outlineLevel="0" collapsed="false">
      <c r="A591" s="6" t="s">
        <v>406</v>
      </c>
      <c r="B591" s="8" t="n">
        <v>10.5</v>
      </c>
      <c r="C591" s="7" t="n">
        <f aca="false">((1+B591/100)^(1/12)-1)*100</f>
        <v>0.835515568363521</v>
      </c>
    </row>
    <row r="592" customFormat="false" ht="15" hidden="false" customHeight="false" outlineLevel="0" collapsed="false">
      <c r="A592" s="6" t="s">
        <v>407</v>
      </c>
      <c r="B592" s="8" t="n">
        <v>10.5</v>
      </c>
      <c r="C592" s="7" t="n">
        <f aca="false">((1+B592/100)^(1/12)-1)*100</f>
        <v>0.835515568363521</v>
      </c>
    </row>
    <row r="593" customFormat="false" ht="15" hidden="false" customHeight="false" outlineLevel="0" collapsed="false">
      <c r="A593" s="6" t="s">
        <v>408</v>
      </c>
      <c r="B593" s="8" t="n">
        <v>10.5</v>
      </c>
      <c r="C593" s="7" t="n">
        <f aca="false">((1+B593/100)^(1/12)-1)*100</f>
        <v>0.835515568363521</v>
      </c>
    </row>
    <row r="594" customFormat="false" ht="15" hidden="false" customHeight="false" outlineLevel="0" collapsed="false">
      <c r="A594" s="6" t="s">
        <v>409</v>
      </c>
      <c r="B594" s="8" t="n">
        <v>10.5</v>
      </c>
      <c r="C594" s="7" t="n">
        <f aca="false">((1+B594/100)^(1/12)-1)*100</f>
        <v>0.835515568363521</v>
      </c>
    </row>
    <row r="595" customFormat="false" ht="15" hidden="false" customHeight="false" outlineLevel="0" collapsed="false">
      <c r="A595" s="6" t="s">
        <v>1115</v>
      </c>
      <c r="B595" s="8" t="n">
        <v>10.5</v>
      </c>
      <c r="C595" s="7" t="n">
        <f aca="false">((1+B595/100)^(1/12)-1)*100</f>
        <v>0.835515568363521</v>
      </c>
    </row>
    <row r="596" customFormat="false" ht="15" hidden="false" customHeight="false" outlineLevel="0" collapsed="false">
      <c r="A596" s="6" t="s">
        <v>1116</v>
      </c>
      <c r="B596" s="8" t="n">
        <v>10.5</v>
      </c>
      <c r="C596" s="7" t="n">
        <f aca="false">((1+B596/100)^(1/12)-1)*100</f>
        <v>0.835515568363521</v>
      </c>
    </row>
    <row r="597" customFormat="false" ht="15" hidden="false" customHeight="false" outlineLevel="0" collapsed="false">
      <c r="A597" s="6" t="s">
        <v>410</v>
      </c>
      <c r="B597" s="8" t="n">
        <v>10.5</v>
      </c>
      <c r="C597" s="7" t="n">
        <f aca="false">((1+B597/100)^(1/12)-1)*100</f>
        <v>0.835515568363521</v>
      </c>
    </row>
    <row r="598" customFormat="false" ht="15" hidden="false" customHeight="false" outlineLevel="0" collapsed="false">
      <c r="A598" s="6" t="s">
        <v>411</v>
      </c>
      <c r="B598" s="8" t="n">
        <v>10.5</v>
      </c>
      <c r="C598" s="7" t="n">
        <f aca="false">((1+B598/100)^(1/12)-1)*100</f>
        <v>0.835515568363521</v>
      </c>
    </row>
    <row r="599" customFormat="false" ht="15" hidden="false" customHeight="false" outlineLevel="0" collapsed="false">
      <c r="A599" s="6" t="s">
        <v>412</v>
      </c>
      <c r="B599" s="8" t="n">
        <v>10.5</v>
      </c>
      <c r="C599" s="7" t="n">
        <f aca="false">((1+B599/100)^(1/12)-1)*100</f>
        <v>0.835515568363521</v>
      </c>
    </row>
    <row r="600" customFormat="false" ht="15" hidden="false" customHeight="false" outlineLevel="0" collapsed="false">
      <c r="A600" s="6" t="s">
        <v>413</v>
      </c>
      <c r="B600" s="8" t="n">
        <v>10.5</v>
      </c>
      <c r="C600" s="7" t="n">
        <f aca="false">((1+B600/100)^(1/12)-1)*100</f>
        <v>0.835515568363521</v>
      </c>
    </row>
    <row r="601" customFormat="false" ht="15" hidden="false" customHeight="false" outlineLevel="0" collapsed="false">
      <c r="A601" s="6" t="s">
        <v>414</v>
      </c>
      <c r="B601" s="8" t="n">
        <v>10.5</v>
      </c>
      <c r="C601" s="7" t="n">
        <f aca="false">((1+B601/100)^(1/12)-1)*100</f>
        <v>0.835515568363521</v>
      </c>
    </row>
    <row r="602" customFormat="false" ht="15" hidden="false" customHeight="false" outlineLevel="0" collapsed="false">
      <c r="A602" s="6" t="s">
        <v>1117</v>
      </c>
      <c r="B602" s="8" t="n">
        <v>10.5</v>
      </c>
      <c r="C602" s="7" t="n">
        <f aca="false">((1+B602/100)^(1/12)-1)*100</f>
        <v>0.835515568363521</v>
      </c>
    </row>
    <row r="603" customFormat="false" ht="15" hidden="false" customHeight="false" outlineLevel="0" collapsed="false">
      <c r="A603" s="6" t="s">
        <v>1118</v>
      </c>
      <c r="B603" s="8" t="n">
        <v>10.5</v>
      </c>
      <c r="C603" s="7" t="n">
        <f aca="false">((1+B603/100)^(1/12)-1)*100</f>
        <v>0.835515568363521</v>
      </c>
    </row>
    <row r="604" customFormat="false" ht="15" hidden="false" customHeight="false" outlineLevel="0" collapsed="false">
      <c r="A604" s="6" t="s">
        <v>415</v>
      </c>
      <c r="B604" s="8" t="n">
        <v>10.5</v>
      </c>
      <c r="C604" s="7" t="n">
        <f aca="false">((1+B604/100)^(1/12)-1)*100</f>
        <v>0.835515568363521</v>
      </c>
    </row>
    <row r="605" customFormat="false" ht="15" hidden="false" customHeight="false" outlineLevel="0" collapsed="false">
      <c r="A605" s="6" t="s">
        <v>416</v>
      </c>
      <c r="B605" s="8" t="n">
        <v>10.5</v>
      </c>
      <c r="C605" s="7" t="n">
        <f aca="false">((1+B605/100)^(1/12)-1)*100</f>
        <v>0.835515568363521</v>
      </c>
    </row>
    <row r="606" customFormat="false" ht="15" hidden="false" customHeight="false" outlineLevel="0" collapsed="false">
      <c r="A606" s="6" t="s">
        <v>417</v>
      </c>
      <c r="B606" s="8" t="n">
        <v>10.5</v>
      </c>
      <c r="C606" s="7" t="n">
        <f aca="false">((1+B606/100)^(1/12)-1)*100</f>
        <v>0.835515568363521</v>
      </c>
    </row>
    <row r="607" customFormat="false" ht="15" hidden="false" customHeight="false" outlineLevel="0" collapsed="false">
      <c r="A607" s="6" t="s">
        <v>418</v>
      </c>
      <c r="B607" s="8" t="n">
        <v>10.5</v>
      </c>
      <c r="C607" s="7" t="n">
        <f aca="false">((1+B607/100)^(1/12)-1)*100</f>
        <v>0.835515568363521</v>
      </c>
    </row>
    <row r="608" customFormat="false" ht="15" hidden="false" customHeight="false" outlineLevel="0" collapsed="false">
      <c r="A608" s="6" t="s">
        <v>419</v>
      </c>
      <c r="B608" s="8" t="n">
        <v>10.5</v>
      </c>
      <c r="C608" s="7" t="n">
        <f aca="false">((1+B608/100)^(1/12)-1)*100</f>
        <v>0.835515568363521</v>
      </c>
    </row>
    <row r="609" customFormat="false" ht="15" hidden="false" customHeight="false" outlineLevel="0" collapsed="false">
      <c r="A609" s="6" t="s">
        <v>1119</v>
      </c>
      <c r="B609" s="8" t="n">
        <v>10.5</v>
      </c>
      <c r="C609" s="7" t="n">
        <f aca="false">((1+B609/100)^(1/12)-1)*100</f>
        <v>0.835515568363521</v>
      </c>
    </row>
    <row r="610" customFormat="false" ht="15" hidden="false" customHeight="false" outlineLevel="0" collapsed="false">
      <c r="A610" s="6" t="s">
        <v>1120</v>
      </c>
      <c r="B610" s="8" t="n">
        <v>10.5</v>
      </c>
      <c r="C610" s="7" t="n">
        <f aca="false">((1+B610/100)^(1/12)-1)*100</f>
        <v>0.835515568363521</v>
      </c>
    </row>
    <row r="611" customFormat="false" ht="15" hidden="false" customHeight="false" outlineLevel="0" collapsed="false">
      <c r="A611" s="6" t="s">
        <v>420</v>
      </c>
      <c r="B611" s="8" t="n">
        <v>10.5</v>
      </c>
      <c r="C611" s="7" t="n">
        <f aca="false">((1+B611/100)^(1/12)-1)*100</f>
        <v>0.835515568363521</v>
      </c>
    </row>
    <row r="612" customFormat="false" ht="15" hidden="false" customHeight="false" outlineLevel="0" collapsed="false">
      <c r="A612" s="6" t="s">
        <v>421</v>
      </c>
      <c r="B612" s="8" t="n">
        <v>10.5</v>
      </c>
      <c r="C612" s="7" t="n">
        <f aca="false">((1+B612/100)^(1/12)-1)*100</f>
        <v>0.835515568363521</v>
      </c>
    </row>
    <row r="613" customFormat="false" ht="15" hidden="false" customHeight="false" outlineLevel="0" collapsed="false">
      <c r="A613" s="6" t="s">
        <v>422</v>
      </c>
      <c r="B613" s="8" t="n">
        <v>10.5</v>
      </c>
      <c r="C613" s="7" t="n">
        <f aca="false">((1+B613/100)^(1/12)-1)*100</f>
        <v>0.835515568363521</v>
      </c>
    </row>
    <row r="614" customFormat="false" ht="15" hidden="false" customHeight="false" outlineLevel="0" collapsed="false">
      <c r="A614" s="6" t="s">
        <v>423</v>
      </c>
      <c r="B614" s="8" t="n">
        <v>10.5</v>
      </c>
      <c r="C614" s="7" t="n">
        <f aca="false">((1+B614/100)^(1/12)-1)*100</f>
        <v>0.835515568363521</v>
      </c>
    </row>
    <row r="615" customFormat="false" ht="15" hidden="false" customHeight="false" outlineLevel="0" collapsed="false">
      <c r="A615" s="6" t="s">
        <v>424</v>
      </c>
      <c r="B615" s="8" t="n">
        <v>10.5</v>
      </c>
      <c r="C615" s="7" t="n">
        <f aca="false">((1+B615/100)^(1/12)-1)*100</f>
        <v>0.835515568363521</v>
      </c>
    </row>
    <row r="616" customFormat="false" ht="15" hidden="false" customHeight="false" outlineLevel="0" collapsed="false">
      <c r="A616" s="6" t="s">
        <v>1121</v>
      </c>
      <c r="B616" s="8" t="n">
        <v>10.5</v>
      </c>
      <c r="C616" s="7" t="n">
        <f aca="false">((1+B616/100)^(1/12)-1)*100</f>
        <v>0.835515568363521</v>
      </c>
    </row>
    <row r="617" customFormat="false" ht="15" hidden="false" customHeight="false" outlineLevel="0" collapsed="false">
      <c r="A617" s="6" t="s">
        <v>1122</v>
      </c>
      <c r="B617" s="8" t="n">
        <v>10.5</v>
      </c>
      <c r="C617" s="7" t="n">
        <f aca="false">((1+B617/100)^(1/12)-1)*100</f>
        <v>0.835515568363521</v>
      </c>
    </row>
    <row r="618" customFormat="false" ht="15" hidden="false" customHeight="false" outlineLevel="0" collapsed="false">
      <c r="A618" s="6" t="s">
        <v>425</v>
      </c>
      <c r="B618" s="8" t="n">
        <v>10.5</v>
      </c>
      <c r="C618" s="7" t="n">
        <f aca="false">((1+B618/100)^(1/12)-1)*100</f>
        <v>0.835515568363521</v>
      </c>
    </row>
    <row r="619" customFormat="false" ht="15" hidden="false" customHeight="false" outlineLevel="0" collapsed="false">
      <c r="A619" s="6" t="s">
        <v>426</v>
      </c>
      <c r="B619" s="8" t="n">
        <v>10.5</v>
      </c>
      <c r="C619" s="7" t="n">
        <f aca="false">((1+B619/100)^(1/12)-1)*100</f>
        <v>0.835515568363521</v>
      </c>
    </row>
    <row r="620" customFormat="false" ht="15" hidden="false" customHeight="false" outlineLevel="0" collapsed="false">
      <c r="A620" s="6" t="s">
        <v>427</v>
      </c>
      <c r="B620" s="8" t="n">
        <v>10.5</v>
      </c>
      <c r="C620" s="7" t="n">
        <f aca="false">((1+B620/100)^(1/12)-1)*100</f>
        <v>0.835515568363521</v>
      </c>
    </row>
    <row r="621" customFormat="false" ht="15" hidden="false" customHeight="false" outlineLevel="0" collapsed="false">
      <c r="A621" s="6" t="s">
        <v>428</v>
      </c>
      <c r="B621" s="8" t="n">
        <v>10.5</v>
      </c>
      <c r="C621" s="7" t="n">
        <f aca="false">((1+B621/100)^(1/12)-1)*100</f>
        <v>0.835515568363521</v>
      </c>
    </row>
    <row r="622" customFormat="false" ht="15" hidden="false" customHeight="false" outlineLevel="0" collapsed="false">
      <c r="A622" s="6" t="s">
        <v>429</v>
      </c>
      <c r="B622" s="8" t="n">
        <v>10.5</v>
      </c>
      <c r="C622" s="7" t="n">
        <f aca="false">((1+B622/100)^(1/12)-1)*100</f>
        <v>0.835515568363521</v>
      </c>
    </row>
    <row r="623" customFormat="false" ht="15" hidden="false" customHeight="false" outlineLevel="0" collapsed="false">
      <c r="A623" s="6" t="s">
        <v>1123</v>
      </c>
      <c r="B623" s="8" t="n">
        <v>10.5</v>
      </c>
      <c r="C623" s="7" t="n">
        <f aca="false">((1+B623/100)^(1/12)-1)*100</f>
        <v>0.835515568363521</v>
      </c>
    </row>
    <row r="624" customFormat="false" ht="15" hidden="false" customHeight="false" outlineLevel="0" collapsed="false">
      <c r="A624" s="6" t="s">
        <v>1124</v>
      </c>
      <c r="B624" s="8" t="n">
        <v>10.5</v>
      </c>
      <c r="C624" s="7" t="n">
        <f aca="false">((1+B624/100)^(1/12)-1)*100</f>
        <v>0.835515568363521</v>
      </c>
    </row>
    <row r="625" customFormat="false" ht="15" hidden="false" customHeight="false" outlineLevel="0" collapsed="false">
      <c r="A625" s="6" t="s">
        <v>430</v>
      </c>
      <c r="B625" s="8" t="n">
        <v>10.5</v>
      </c>
      <c r="C625" s="7" t="n">
        <f aca="false">((1+B625/100)^(1/12)-1)*100</f>
        <v>0.835515568363521</v>
      </c>
    </row>
    <row r="626" customFormat="false" ht="15" hidden="false" customHeight="false" outlineLevel="0" collapsed="false">
      <c r="A626" s="6" t="s">
        <v>431</v>
      </c>
      <c r="B626" s="8" t="n">
        <v>10.5</v>
      </c>
      <c r="C626" s="7" t="n">
        <f aca="false">((1+B626/100)^(1/12)-1)*100</f>
        <v>0.835515568363521</v>
      </c>
    </row>
    <row r="627" customFormat="false" ht="15" hidden="false" customHeight="false" outlineLevel="0" collapsed="false">
      <c r="A627" s="6" t="s">
        <v>432</v>
      </c>
      <c r="B627" s="8" t="n">
        <v>10.5</v>
      </c>
      <c r="C627" s="7" t="n">
        <f aca="false">((1+B627/100)^(1/12)-1)*100</f>
        <v>0.835515568363521</v>
      </c>
    </row>
    <row r="628" customFormat="false" ht="15" hidden="false" customHeight="false" outlineLevel="0" collapsed="false">
      <c r="A628" s="6" t="s">
        <v>433</v>
      </c>
      <c r="B628" s="8" t="n">
        <v>10.5</v>
      </c>
      <c r="C628" s="7" t="n">
        <f aca="false">((1+B628/100)^(1/12)-1)*100</f>
        <v>0.835515568363521</v>
      </c>
    </row>
    <row r="629" customFormat="false" ht="15" hidden="false" customHeight="false" outlineLevel="0" collapsed="false">
      <c r="A629" s="6" t="s">
        <v>434</v>
      </c>
      <c r="B629" s="8" t="n">
        <v>10.5</v>
      </c>
      <c r="C629" s="7" t="n">
        <f aca="false">((1+B629/100)^(1/12)-1)*100</f>
        <v>0.835515568363521</v>
      </c>
    </row>
    <row r="630" customFormat="false" ht="15" hidden="false" customHeight="false" outlineLevel="0" collapsed="false">
      <c r="A630" s="6" t="s">
        <v>1125</v>
      </c>
      <c r="B630" s="8" t="n">
        <v>10.5</v>
      </c>
      <c r="C630" s="7" t="n">
        <f aca="false">((1+B630/100)^(1/12)-1)*100</f>
        <v>0.835515568363521</v>
      </c>
    </row>
    <row r="631" customFormat="false" ht="15" hidden="false" customHeight="false" outlineLevel="0" collapsed="false">
      <c r="A631" s="6" t="s">
        <v>1126</v>
      </c>
      <c r="B631" s="8" t="n">
        <v>10.5</v>
      </c>
      <c r="C631" s="7" t="n">
        <f aca="false">((1+B631/100)^(1/12)-1)*100</f>
        <v>0.835515568363521</v>
      </c>
    </row>
    <row r="632" customFormat="false" ht="15" hidden="false" customHeight="false" outlineLevel="0" collapsed="false">
      <c r="A632" s="6" t="s">
        <v>435</v>
      </c>
      <c r="B632" s="8" t="n">
        <v>10.5</v>
      </c>
      <c r="C632" s="7" t="n">
        <f aca="false">((1+B632/100)^(1/12)-1)*100</f>
        <v>0.835515568363521</v>
      </c>
    </row>
    <row r="633" customFormat="false" ht="15" hidden="false" customHeight="false" outlineLevel="0" collapsed="false">
      <c r="A633" s="6" t="s">
        <v>436</v>
      </c>
      <c r="B633" s="8" t="n">
        <v>10.5</v>
      </c>
      <c r="C633" s="7" t="n">
        <f aca="false">((1+B633/100)^(1/12)-1)*100</f>
        <v>0.835515568363521</v>
      </c>
    </row>
    <row r="634" customFormat="false" ht="15" hidden="false" customHeight="false" outlineLevel="0" collapsed="false">
      <c r="A634" s="6" t="s">
        <v>437</v>
      </c>
      <c r="B634" s="8" t="n">
        <v>10.5</v>
      </c>
      <c r="C634" s="7" t="n">
        <f aca="false">((1+B634/100)^(1/12)-1)*100</f>
        <v>0.835515568363521</v>
      </c>
    </row>
    <row r="635" customFormat="false" ht="15" hidden="false" customHeight="false" outlineLevel="0" collapsed="false">
      <c r="A635" s="6" t="s">
        <v>438</v>
      </c>
      <c r="B635" s="8" t="n">
        <v>10.75</v>
      </c>
      <c r="C635" s="7" t="n">
        <f aca="false">((1+B635/100)^(1/12)-1)*100</f>
        <v>0.85450710394861</v>
      </c>
    </row>
    <row r="636" customFormat="false" ht="15" hidden="false" customHeight="false" outlineLevel="0" collapsed="false">
      <c r="A636" s="6" t="s">
        <v>439</v>
      </c>
      <c r="B636" s="8" t="n">
        <v>10.75</v>
      </c>
      <c r="C636" s="7" t="n">
        <f aca="false">((1+B636/100)^(1/12)-1)*100</f>
        <v>0.85450710394861</v>
      </c>
    </row>
    <row r="637" customFormat="false" ht="15" hidden="false" customHeight="false" outlineLevel="0" collapsed="false">
      <c r="A637" s="6" t="s">
        <v>1127</v>
      </c>
      <c r="B637" s="8" t="n">
        <v>10.75</v>
      </c>
      <c r="C637" s="7" t="n">
        <f aca="false">((1+B637/100)^(1/12)-1)*100</f>
        <v>0.85450710394861</v>
      </c>
    </row>
    <row r="638" customFormat="false" ht="15" hidden="false" customHeight="false" outlineLevel="0" collapsed="false">
      <c r="A638" s="6" t="s">
        <v>1128</v>
      </c>
      <c r="B638" s="8" t="n">
        <v>10.75</v>
      </c>
      <c r="C638" s="7" t="n">
        <f aca="false">((1+B638/100)^(1/12)-1)*100</f>
        <v>0.85450710394861</v>
      </c>
    </row>
    <row r="639" customFormat="false" ht="15" hidden="false" customHeight="false" outlineLevel="0" collapsed="false">
      <c r="A639" s="6" t="s">
        <v>440</v>
      </c>
      <c r="B639" s="8" t="n">
        <v>10.75</v>
      </c>
      <c r="C639" s="7" t="n">
        <f aca="false">((1+B639/100)^(1/12)-1)*100</f>
        <v>0.85450710394861</v>
      </c>
    </row>
    <row r="640" customFormat="false" ht="15" hidden="false" customHeight="false" outlineLevel="0" collapsed="false">
      <c r="A640" s="6" t="s">
        <v>441</v>
      </c>
      <c r="B640" s="8" t="n">
        <v>10.75</v>
      </c>
      <c r="C640" s="7" t="n">
        <f aca="false">((1+B640/100)^(1/12)-1)*100</f>
        <v>0.85450710394861</v>
      </c>
    </row>
    <row r="641" customFormat="false" ht="15" hidden="false" customHeight="false" outlineLevel="0" collapsed="false">
      <c r="A641" s="6" t="s">
        <v>442</v>
      </c>
      <c r="B641" s="8" t="n">
        <v>10.75</v>
      </c>
      <c r="C641" s="7" t="n">
        <f aca="false">((1+B641/100)^(1/12)-1)*100</f>
        <v>0.85450710394861</v>
      </c>
    </row>
    <row r="642" customFormat="false" ht="15" hidden="false" customHeight="false" outlineLevel="0" collapsed="false">
      <c r="A642" s="6" t="s">
        <v>443</v>
      </c>
      <c r="B642" s="8" t="n">
        <v>10.75</v>
      </c>
      <c r="C642" s="7" t="n">
        <f aca="false">((1+B642/100)^(1/12)-1)*100</f>
        <v>0.85450710394861</v>
      </c>
    </row>
    <row r="643" customFormat="false" ht="15" hidden="false" customHeight="false" outlineLevel="0" collapsed="false">
      <c r="A643" s="6" t="s">
        <v>444</v>
      </c>
      <c r="B643" s="8" t="n">
        <v>10.75</v>
      </c>
      <c r="C643" s="7" t="n">
        <f aca="false">((1+B643/100)^(1/12)-1)*100</f>
        <v>0.85450710394861</v>
      </c>
    </row>
    <row r="644" customFormat="false" ht="15" hidden="false" customHeight="false" outlineLevel="0" collapsed="false">
      <c r="A644" s="6" t="s">
        <v>1129</v>
      </c>
      <c r="B644" s="8" t="n">
        <v>10.75</v>
      </c>
      <c r="C644" s="7" t="n">
        <f aca="false">((1+B644/100)^(1/12)-1)*100</f>
        <v>0.85450710394861</v>
      </c>
    </row>
    <row r="645" customFormat="false" ht="15" hidden="false" customHeight="false" outlineLevel="0" collapsed="false">
      <c r="A645" s="6" t="s">
        <v>1130</v>
      </c>
      <c r="B645" s="8" t="n">
        <v>10.75</v>
      </c>
      <c r="C645" s="7" t="n">
        <f aca="false">((1+B645/100)^(1/12)-1)*100</f>
        <v>0.85450710394861</v>
      </c>
    </row>
    <row r="646" customFormat="false" ht="15" hidden="false" customHeight="false" outlineLevel="0" collapsed="false">
      <c r="A646" s="6" t="s">
        <v>445</v>
      </c>
      <c r="B646" s="8" t="n">
        <v>10.75</v>
      </c>
      <c r="C646" s="7" t="n">
        <f aca="false">((1+B646/100)^(1/12)-1)*100</f>
        <v>0.85450710394861</v>
      </c>
    </row>
    <row r="647" customFormat="false" ht="15" hidden="false" customHeight="false" outlineLevel="0" collapsed="false">
      <c r="A647" s="6" t="s">
        <v>446</v>
      </c>
      <c r="B647" s="8" t="n">
        <v>10.75</v>
      </c>
      <c r="C647" s="7" t="n">
        <f aca="false">((1+B647/100)^(1/12)-1)*100</f>
        <v>0.85450710394861</v>
      </c>
    </row>
    <row r="648" customFormat="false" ht="15" hidden="false" customHeight="false" outlineLevel="0" collapsed="false">
      <c r="A648" s="6" t="s">
        <v>447</v>
      </c>
      <c r="B648" s="8" t="n">
        <v>10.75</v>
      </c>
      <c r="C648" s="7" t="n">
        <f aca="false">((1+B648/100)^(1/12)-1)*100</f>
        <v>0.85450710394861</v>
      </c>
    </row>
    <row r="649" customFormat="false" ht="15" hidden="false" customHeight="false" outlineLevel="0" collapsed="false">
      <c r="A649" s="6" t="s">
        <v>448</v>
      </c>
      <c r="B649" s="8" t="n">
        <v>10.75</v>
      </c>
      <c r="C649" s="7" t="n">
        <f aca="false">((1+B649/100)^(1/12)-1)*100</f>
        <v>0.85450710394861</v>
      </c>
    </row>
    <row r="650" customFormat="false" ht="15" hidden="false" customHeight="false" outlineLevel="0" collapsed="false">
      <c r="A650" s="6" t="s">
        <v>449</v>
      </c>
      <c r="B650" s="8" t="n">
        <v>10.75</v>
      </c>
      <c r="C650" s="7" t="n">
        <f aca="false">((1+B650/100)^(1/12)-1)*100</f>
        <v>0.85450710394861</v>
      </c>
    </row>
    <row r="651" customFormat="false" ht="15" hidden="false" customHeight="false" outlineLevel="0" collapsed="false">
      <c r="A651" s="6" t="s">
        <v>1131</v>
      </c>
      <c r="B651" s="8" t="n">
        <v>10.75</v>
      </c>
      <c r="C651" s="7" t="n">
        <f aca="false">((1+B651/100)^(1/12)-1)*100</f>
        <v>0.85450710394861</v>
      </c>
    </row>
    <row r="652" customFormat="false" ht="15" hidden="false" customHeight="false" outlineLevel="0" collapsed="false">
      <c r="A652" s="6" t="s">
        <v>1132</v>
      </c>
      <c r="B652" s="8" t="n">
        <v>10.75</v>
      </c>
      <c r="C652" s="7" t="n">
        <f aca="false">((1+B652/100)^(1/12)-1)*100</f>
        <v>0.85450710394861</v>
      </c>
    </row>
    <row r="653" customFormat="false" ht="15" hidden="false" customHeight="false" outlineLevel="0" collapsed="false">
      <c r="A653" s="6" t="s">
        <v>450</v>
      </c>
      <c r="B653" s="8" t="n">
        <v>10.75</v>
      </c>
      <c r="C653" s="7" t="n">
        <f aca="false">((1+B653/100)^(1/12)-1)*100</f>
        <v>0.85450710394861</v>
      </c>
    </row>
    <row r="654" customFormat="false" ht="15" hidden="false" customHeight="false" outlineLevel="0" collapsed="false">
      <c r="A654" s="6" t="s">
        <v>451</v>
      </c>
      <c r="B654" s="8" t="n">
        <v>10.75</v>
      </c>
      <c r="C654" s="7" t="n">
        <f aca="false">((1+B654/100)^(1/12)-1)*100</f>
        <v>0.85450710394861</v>
      </c>
    </row>
    <row r="655" customFormat="false" ht="15" hidden="false" customHeight="false" outlineLevel="0" collapsed="false">
      <c r="A655" s="6" t="s">
        <v>452</v>
      </c>
      <c r="B655" s="8" t="n">
        <v>10.75</v>
      </c>
      <c r="C655" s="7" t="n">
        <f aca="false">((1+B655/100)^(1/12)-1)*100</f>
        <v>0.85450710394861</v>
      </c>
    </row>
    <row r="656" customFormat="false" ht="15" hidden="false" customHeight="false" outlineLevel="0" collapsed="false">
      <c r="A656" s="6" t="s">
        <v>453</v>
      </c>
      <c r="B656" s="8" t="n">
        <v>10.75</v>
      </c>
      <c r="C656" s="7" t="n">
        <f aca="false">((1+B656/100)^(1/12)-1)*100</f>
        <v>0.85450710394861</v>
      </c>
    </row>
    <row r="657" customFormat="false" ht="15" hidden="false" customHeight="false" outlineLevel="0" collapsed="false">
      <c r="A657" s="6" t="s">
        <v>454</v>
      </c>
      <c r="B657" s="8" t="n">
        <v>10.75</v>
      </c>
      <c r="C657" s="7" t="n">
        <f aca="false">((1+B657/100)^(1/12)-1)*100</f>
        <v>0.85450710394861</v>
      </c>
    </row>
    <row r="658" customFormat="false" ht="15" hidden="false" customHeight="false" outlineLevel="0" collapsed="false">
      <c r="A658" s="6" t="s">
        <v>1133</v>
      </c>
      <c r="B658" s="8" t="n">
        <v>10.75</v>
      </c>
      <c r="C658" s="7" t="n">
        <f aca="false">((1+B658/100)^(1/12)-1)*100</f>
        <v>0.85450710394861</v>
      </c>
    </row>
    <row r="659" customFormat="false" ht="15" hidden="false" customHeight="false" outlineLevel="0" collapsed="false">
      <c r="A659" s="6" t="s">
        <v>1134</v>
      </c>
      <c r="B659" s="8" t="n">
        <v>10.75</v>
      </c>
      <c r="C659" s="7" t="n">
        <f aca="false">((1+B659/100)^(1/12)-1)*100</f>
        <v>0.85450710394861</v>
      </c>
    </row>
    <row r="660" customFormat="false" ht="15" hidden="false" customHeight="false" outlineLevel="0" collapsed="false">
      <c r="A660" s="6" t="s">
        <v>455</v>
      </c>
      <c r="B660" s="8" t="n">
        <v>10.75</v>
      </c>
      <c r="C660" s="7" t="n">
        <f aca="false">((1+B660/100)^(1/12)-1)*100</f>
        <v>0.85450710394861</v>
      </c>
    </row>
    <row r="661" customFormat="false" ht="15" hidden="false" customHeight="false" outlineLevel="0" collapsed="false">
      <c r="A661" s="6" t="s">
        <v>456</v>
      </c>
      <c r="B661" s="8" t="n">
        <v>10.75</v>
      </c>
      <c r="C661" s="7" t="n">
        <f aca="false">((1+B661/100)^(1/12)-1)*100</f>
        <v>0.85450710394861</v>
      </c>
    </row>
    <row r="662" customFormat="false" ht="15" hidden="false" customHeight="false" outlineLevel="0" collapsed="false">
      <c r="A662" s="6" t="s">
        <v>457</v>
      </c>
      <c r="B662" s="8" t="n">
        <v>10.75</v>
      </c>
      <c r="C662" s="7" t="n">
        <f aca="false">((1+B662/100)^(1/12)-1)*100</f>
        <v>0.85450710394861</v>
      </c>
    </row>
    <row r="663" customFormat="false" ht="15" hidden="false" customHeight="false" outlineLevel="0" collapsed="false">
      <c r="A663" s="6" t="s">
        <v>458</v>
      </c>
      <c r="B663" s="8" t="n">
        <v>10.75</v>
      </c>
      <c r="C663" s="7" t="n">
        <f aca="false">((1+B663/100)^(1/12)-1)*100</f>
        <v>0.85450710394861</v>
      </c>
    </row>
    <row r="664" customFormat="false" ht="15" hidden="false" customHeight="false" outlineLevel="0" collapsed="false">
      <c r="A664" s="6" t="s">
        <v>459</v>
      </c>
      <c r="B664" s="8" t="n">
        <v>10.75</v>
      </c>
      <c r="C664" s="7" t="n">
        <f aca="false">((1+B664/100)^(1/12)-1)*100</f>
        <v>0.85450710394861</v>
      </c>
    </row>
    <row r="665" customFormat="false" ht="15" hidden="false" customHeight="false" outlineLevel="0" collapsed="false">
      <c r="A665" s="6" t="s">
        <v>1135</v>
      </c>
      <c r="B665" s="8" t="n">
        <v>10.75</v>
      </c>
      <c r="C665" s="7" t="n">
        <f aca="false">((1+B665/100)^(1/12)-1)*100</f>
        <v>0.85450710394861</v>
      </c>
    </row>
    <row r="666" customFormat="false" ht="15" hidden="false" customHeight="false" outlineLevel="0" collapsed="false">
      <c r="A666" s="6" t="s">
        <v>1136</v>
      </c>
      <c r="B666" s="8" t="n">
        <v>10.75</v>
      </c>
      <c r="C666" s="7" t="n">
        <f aca="false">((1+B666/100)^(1/12)-1)*100</f>
        <v>0.85450710394861</v>
      </c>
    </row>
    <row r="667" customFormat="false" ht="15" hidden="false" customHeight="false" outlineLevel="0" collapsed="false">
      <c r="A667" s="6" t="s">
        <v>460</v>
      </c>
      <c r="B667" s="8" t="n">
        <v>10.75</v>
      </c>
      <c r="C667" s="7" t="n">
        <f aca="false">((1+B667/100)^(1/12)-1)*100</f>
        <v>0.85450710394861</v>
      </c>
    </row>
    <row r="668" customFormat="false" ht="15" hidden="false" customHeight="false" outlineLevel="0" collapsed="false">
      <c r="A668" s="6" t="s">
        <v>461</v>
      </c>
      <c r="B668" s="8" t="n">
        <v>10.75</v>
      </c>
      <c r="C668" s="7" t="n">
        <f aca="false">((1+B668/100)^(1/12)-1)*100</f>
        <v>0.85450710394861</v>
      </c>
    </row>
    <row r="669" customFormat="false" ht="15" hidden="false" customHeight="false" outlineLevel="0" collapsed="false">
      <c r="A669" s="6" t="s">
        <v>462</v>
      </c>
      <c r="B669" s="8" t="n">
        <v>10.75</v>
      </c>
      <c r="C669" s="7" t="n">
        <f aca="false">((1+B669/100)^(1/12)-1)*100</f>
        <v>0.85450710394861</v>
      </c>
    </row>
    <row r="670" customFormat="false" ht="15" hidden="false" customHeight="false" outlineLevel="0" collapsed="false">
      <c r="A670" s="6" t="s">
        <v>463</v>
      </c>
      <c r="B670" s="8" t="n">
        <v>10.75</v>
      </c>
      <c r="C670" s="7" t="n">
        <f aca="false">((1+B670/100)^(1/12)-1)*100</f>
        <v>0.85450710394861</v>
      </c>
    </row>
    <row r="671" customFormat="false" ht="15" hidden="false" customHeight="false" outlineLevel="0" collapsed="false">
      <c r="A671" s="6" t="s">
        <v>464</v>
      </c>
      <c r="B671" s="8" t="n">
        <v>10.75</v>
      </c>
      <c r="C671" s="7" t="n">
        <f aca="false">((1+B671/100)^(1/12)-1)*100</f>
        <v>0.85450710394861</v>
      </c>
    </row>
    <row r="672" customFormat="false" ht="15" hidden="false" customHeight="false" outlineLevel="0" collapsed="false">
      <c r="A672" s="6" t="s">
        <v>1137</v>
      </c>
      <c r="B672" s="8" t="n">
        <v>10.75</v>
      </c>
      <c r="C672" s="7" t="n">
        <f aca="false">((1+B672/100)^(1/12)-1)*100</f>
        <v>0.85450710394861</v>
      </c>
    </row>
    <row r="673" customFormat="false" ht="15" hidden="false" customHeight="false" outlineLevel="0" collapsed="false">
      <c r="A673" s="6" t="s">
        <v>1138</v>
      </c>
      <c r="B673" s="8" t="n">
        <v>10.75</v>
      </c>
      <c r="C673" s="7" t="n">
        <f aca="false">((1+B673/100)^(1/12)-1)*100</f>
        <v>0.85450710394861</v>
      </c>
    </row>
    <row r="674" customFormat="false" ht="15" hidden="false" customHeight="false" outlineLevel="0" collapsed="false">
      <c r="A674" s="6" t="s">
        <v>465</v>
      </c>
      <c r="B674" s="8" t="n">
        <v>10.75</v>
      </c>
      <c r="C674" s="7" t="n">
        <f aca="false">((1+B674/100)^(1/12)-1)*100</f>
        <v>0.85450710394861</v>
      </c>
    </row>
    <row r="675" customFormat="false" ht="15" hidden="false" customHeight="false" outlineLevel="0" collapsed="false">
      <c r="A675" s="6" t="s">
        <v>466</v>
      </c>
      <c r="B675" s="8" t="n">
        <v>10.75</v>
      </c>
      <c r="C675" s="7" t="n">
        <f aca="false">((1+B675/100)^(1/12)-1)*100</f>
        <v>0.85450710394861</v>
      </c>
    </row>
    <row r="676" customFormat="false" ht="15" hidden="false" customHeight="false" outlineLevel="0" collapsed="false">
      <c r="A676" s="6" t="s">
        <v>467</v>
      </c>
      <c r="B676" s="8" t="n">
        <v>10.75</v>
      </c>
      <c r="C676" s="7" t="n">
        <f aca="false">((1+B676/100)^(1/12)-1)*100</f>
        <v>0.85450710394861</v>
      </c>
    </row>
    <row r="677" customFormat="false" ht="15" hidden="false" customHeight="false" outlineLevel="0" collapsed="false">
      <c r="A677" s="6" t="s">
        <v>468</v>
      </c>
      <c r="B677" s="8" t="n">
        <v>10.75</v>
      </c>
      <c r="C677" s="7" t="n">
        <f aca="false">((1+B677/100)^(1/12)-1)*100</f>
        <v>0.85450710394861</v>
      </c>
    </row>
    <row r="678" customFormat="false" ht="15" hidden="false" customHeight="false" outlineLevel="0" collapsed="false">
      <c r="A678" s="6" t="s">
        <v>469</v>
      </c>
      <c r="B678" s="8" t="n">
        <v>10.75</v>
      </c>
      <c r="C678" s="7" t="n">
        <f aca="false">((1+B678/100)^(1/12)-1)*100</f>
        <v>0.85450710394861</v>
      </c>
    </row>
    <row r="679" customFormat="false" ht="15" hidden="false" customHeight="false" outlineLevel="0" collapsed="false">
      <c r="A679" s="6" t="s">
        <v>1139</v>
      </c>
      <c r="B679" s="8" t="n">
        <v>10.75</v>
      </c>
      <c r="C679" s="7" t="n">
        <f aca="false">((1+B679/100)^(1/12)-1)*100</f>
        <v>0.85450710394861</v>
      </c>
    </row>
    <row r="680" customFormat="false" ht="15" hidden="false" customHeight="false" outlineLevel="0" collapsed="false">
      <c r="A680" s="6" t="s">
        <v>1140</v>
      </c>
      <c r="B680" s="8" t="n">
        <v>10.75</v>
      </c>
      <c r="C680" s="7" t="n">
        <f aca="false">((1+B680/100)^(1/12)-1)*100</f>
        <v>0.85450710394861</v>
      </c>
    </row>
    <row r="681" customFormat="false" ht="15" hidden="false" customHeight="false" outlineLevel="0" collapsed="false">
      <c r="A681" s="6" t="s">
        <v>470</v>
      </c>
      <c r="B681" s="8" t="n">
        <v>10.75</v>
      </c>
      <c r="C681" s="7" t="n">
        <f aca="false">((1+B681/100)^(1/12)-1)*100</f>
        <v>0.85450710394861</v>
      </c>
    </row>
    <row r="682" customFormat="false" ht="15" hidden="false" customHeight="false" outlineLevel="0" collapsed="false">
      <c r="A682" s="6" t="s">
        <v>471</v>
      </c>
      <c r="B682" s="8" t="n">
        <v>10.75</v>
      </c>
      <c r="C682" s="7" t="n">
        <f aca="false">((1+B682/100)^(1/12)-1)*100</f>
        <v>0.85450710394861</v>
      </c>
    </row>
    <row r="683" customFormat="false" ht="15" hidden="false" customHeight="false" outlineLevel="0" collapsed="false">
      <c r="A683" s="6" t="s">
        <v>472</v>
      </c>
      <c r="B683" s="8" t="n">
        <v>10.75</v>
      </c>
      <c r="C683" s="7" t="n">
        <f aca="false">((1+B683/100)^(1/12)-1)*100</f>
        <v>0.85450710394861</v>
      </c>
    </row>
    <row r="684" customFormat="false" ht="15" hidden="false" customHeight="false" outlineLevel="0" collapsed="false">
      <c r="A684" s="6" t="s">
        <v>473</v>
      </c>
      <c r="B684" s="8" t="n">
        <v>11.25</v>
      </c>
      <c r="C684" s="7" t="n">
        <f aca="false">((1+B684/100)^(1/12)-1)*100</f>
        <v>0.892372572874778</v>
      </c>
    </row>
    <row r="685" customFormat="false" ht="15" hidden="false" customHeight="false" outlineLevel="0" collapsed="false">
      <c r="A685" s="6" t="s">
        <v>474</v>
      </c>
      <c r="B685" s="8" t="n">
        <v>11.25</v>
      </c>
      <c r="C685" s="7" t="n">
        <f aca="false">((1+B685/100)^(1/12)-1)*100</f>
        <v>0.892372572874778</v>
      </c>
    </row>
    <row r="686" customFormat="false" ht="15" hidden="false" customHeight="false" outlineLevel="0" collapsed="false">
      <c r="A686" s="6" t="s">
        <v>1141</v>
      </c>
      <c r="B686" s="8" t="n">
        <v>11.25</v>
      </c>
      <c r="C686" s="7" t="n">
        <f aca="false">((1+B686/100)^(1/12)-1)*100</f>
        <v>0.892372572874778</v>
      </c>
    </row>
    <row r="687" customFormat="false" ht="15" hidden="false" customHeight="false" outlineLevel="0" collapsed="false">
      <c r="A687" s="6" t="s">
        <v>1142</v>
      </c>
      <c r="B687" s="8" t="n">
        <v>11.25</v>
      </c>
      <c r="C687" s="7" t="n">
        <f aca="false">((1+B687/100)^(1/12)-1)*100</f>
        <v>0.892372572874778</v>
      </c>
    </row>
    <row r="688" customFormat="false" ht="15" hidden="false" customHeight="false" outlineLevel="0" collapsed="false">
      <c r="A688" s="6" t="s">
        <v>475</v>
      </c>
      <c r="B688" s="8" t="n">
        <v>11.25</v>
      </c>
      <c r="C688" s="7" t="n">
        <f aca="false">((1+B688/100)^(1/12)-1)*100</f>
        <v>0.892372572874778</v>
      </c>
    </row>
    <row r="689" customFormat="false" ht="15" hidden="false" customHeight="false" outlineLevel="0" collapsed="false">
      <c r="A689" s="6" t="s">
        <v>476</v>
      </c>
      <c r="B689" s="8" t="n">
        <v>11.25</v>
      </c>
      <c r="C689" s="7" t="n">
        <f aca="false">((1+B689/100)^(1/12)-1)*100</f>
        <v>0.892372572874778</v>
      </c>
    </row>
    <row r="690" customFormat="false" ht="15" hidden="false" customHeight="false" outlineLevel="0" collapsed="false">
      <c r="A690" s="6" t="s">
        <v>477</v>
      </c>
      <c r="B690" s="8" t="n">
        <v>11.25</v>
      </c>
      <c r="C690" s="7" t="n">
        <f aca="false">((1+B690/100)^(1/12)-1)*100</f>
        <v>0.892372572874778</v>
      </c>
    </row>
    <row r="691" customFormat="false" ht="15" hidden="false" customHeight="false" outlineLevel="0" collapsed="false">
      <c r="A691" s="6" t="s">
        <v>478</v>
      </c>
      <c r="B691" s="8" t="n">
        <v>11.25</v>
      </c>
      <c r="C691" s="7" t="n">
        <f aca="false">((1+B691/100)^(1/12)-1)*100</f>
        <v>0.892372572874778</v>
      </c>
    </row>
    <row r="692" customFormat="false" ht="15" hidden="false" customHeight="false" outlineLevel="0" collapsed="false">
      <c r="A692" s="6" t="s">
        <v>1143</v>
      </c>
      <c r="B692" s="8" t="n">
        <v>11.25</v>
      </c>
      <c r="C692" s="7" t="n">
        <f aca="false">((1+B692/100)^(1/12)-1)*100</f>
        <v>0.892372572874778</v>
      </c>
    </row>
    <row r="693" customFormat="false" ht="15" hidden="false" customHeight="false" outlineLevel="0" collapsed="false">
      <c r="A693" s="6" t="s">
        <v>1144</v>
      </c>
      <c r="B693" s="8" t="n">
        <v>11.25</v>
      </c>
      <c r="C693" s="7" t="n">
        <f aca="false">((1+B693/100)^(1/12)-1)*100</f>
        <v>0.892372572874778</v>
      </c>
    </row>
    <row r="694" customFormat="false" ht="15" hidden="false" customHeight="false" outlineLevel="0" collapsed="false">
      <c r="A694" s="6" t="s">
        <v>1145</v>
      </c>
      <c r="B694" s="8" t="n">
        <v>11.25</v>
      </c>
      <c r="C694" s="7" t="n">
        <f aca="false">((1+B694/100)^(1/12)-1)*100</f>
        <v>0.892372572874778</v>
      </c>
    </row>
    <row r="695" customFormat="false" ht="15" hidden="false" customHeight="false" outlineLevel="0" collapsed="false">
      <c r="A695" s="6" t="s">
        <v>479</v>
      </c>
      <c r="B695" s="8" t="n">
        <v>11.25</v>
      </c>
      <c r="C695" s="7" t="n">
        <f aca="false">((1+B695/100)^(1/12)-1)*100</f>
        <v>0.892372572874778</v>
      </c>
    </row>
    <row r="696" customFormat="false" ht="15" hidden="false" customHeight="false" outlineLevel="0" collapsed="false">
      <c r="A696" s="6" t="s">
        <v>480</v>
      </c>
      <c r="B696" s="8" t="n">
        <v>11.25</v>
      </c>
      <c r="C696" s="7" t="n">
        <f aca="false">((1+B696/100)^(1/12)-1)*100</f>
        <v>0.892372572874778</v>
      </c>
    </row>
    <row r="697" customFormat="false" ht="15" hidden="false" customHeight="false" outlineLevel="0" collapsed="false">
      <c r="A697" s="6" t="s">
        <v>1146</v>
      </c>
      <c r="B697" s="8" t="n">
        <v>11.25</v>
      </c>
      <c r="C697" s="7" t="n">
        <f aca="false">((1+B697/100)^(1/12)-1)*100</f>
        <v>0.892372572874778</v>
      </c>
    </row>
    <row r="698" customFormat="false" ht="15" hidden="false" customHeight="false" outlineLevel="0" collapsed="false">
      <c r="A698" s="6" t="s">
        <v>481</v>
      </c>
      <c r="B698" s="8" t="n">
        <v>11.25</v>
      </c>
      <c r="C698" s="7" t="n">
        <f aca="false">((1+B698/100)^(1/12)-1)*100</f>
        <v>0.892372572874778</v>
      </c>
    </row>
    <row r="699" customFormat="false" ht="15" hidden="false" customHeight="false" outlineLevel="0" collapsed="false">
      <c r="A699" s="6" t="s">
        <v>482</v>
      </c>
      <c r="B699" s="8" t="n">
        <v>11.25</v>
      </c>
      <c r="C699" s="7" t="n">
        <f aca="false">((1+B699/100)^(1/12)-1)*100</f>
        <v>0.892372572874778</v>
      </c>
    </row>
    <row r="700" customFormat="false" ht="15" hidden="false" customHeight="false" outlineLevel="0" collapsed="false">
      <c r="A700" s="6" t="s">
        <v>1147</v>
      </c>
      <c r="B700" s="8" t="n">
        <v>11.25</v>
      </c>
      <c r="C700" s="7" t="n">
        <f aca="false">((1+B700/100)^(1/12)-1)*100</f>
        <v>0.892372572874778</v>
      </c>
    </row>
    <row r="701" customFormat="false" ht="15" hidden="false" customHeight="false" outlineLevel="0" collapsed="false">
      <c r="A701" s="6" t="s">
        <v>1148</v>
      </c>
      <c r="B701" s="8" t="n">
        <v>11.25</v>
      </c>
      <c r="C701" s="7" t="n">
        <f aca="false">((1+B701/100)^(1/12)-1)*100</f>
        <v>0.892372572874778</v>
      </c>
    </row>
    <row r="702" customFormat="false" ht="15" hidden="false" customHeight="false" outlineLevel="0" collapsed="false">
      <c r="A702" s="6" t="s">
        <v>483</v>
      </c>
      <c r="B702" s="8" t="n">
        <v>11.25</v>
      </c>
      <c r="C702" s="7" t="n">
        <f aca="false">((1+B702/100)^(1/12)-1)*100</f>
        <v>0.892372572874778</v>
      </c>
    </row>
    <row r="703" customFormat="false" ht="15" hidden="false" customHeight="false" outlineLevel="0" collapsed="false">
      <c r="A703" s="6" t="s">
        <v>484</v>
      </c>
      <c r="B703" s="8" t="n">
        <v>11.25</v>
      </c>
      <c r="C703" s="7" t="n">
        <f aca="false">((1+B703/100)^(1/12)-1)*100</f>
        <v>0.892372572874778</v>
      </c>
    </row>
    <row r="704" customFormat="false" ht="15" hidden="false" customHeight="false" outlineLevel="0" collapsed="false">
      <c r="A704" s="6" t="s">
        <v>485</v>
      </c>
      <c r="B704" s="8" t="n">
        <v>11.25</v>
      </c>
      <c r="C704" s="7" t="n">
        <f aca="false">((1+B704/100)^(1/12)-1)*100</f>
        <v>0.892372572874778</v>
      </c>
    </row>
    <row r="705" customFormat="false" ht="15" hidden="false" customHeight="false" outlineLevel="0" collapsed="false">
      <c r="A705" s="6" t="s">
        <v>486</v>
      </c>
      <c r="B705" s="8" t="n">
        <v>11.25</v>
      </c>
      <c r="C705" s="7" t="n">
        <f aca="false">((1+B705/100)^(1/12)-1)*100</f>
        <v>0.892372572874778</v>
      </c>
    </row>
    <row r="706" customFormat="false" ht="15" hidden="false" customHeight="false" outlineLevel="0" collapsed="false">
      <c r="A706" s="6" t="s">
        <v>487</v>
      </c>
      <c r="B706" s="8" t="n">
        <v>11.25</v>
      </c>
      <c r="C706" s="7" t="n">
        <f aca="false">((1+B706/100)^(1/12)-1)*100</f>
        <v>0.892372572874778</v>
      </c>
    </row>
    <row r="707" customFormat="false" ht="15" hidden="false" customHeight="false" outlineLevel="0" collapsed="false">
      <c r="A707" s="6" t="s">
        <v>1149</v>
      </c>
      <c r="B707" s="8" t="n">
        <v>11.25</v>
      </c>
      <c r="C707" s="7" t="n">
        <f aca="false">((1+B707/100)^(1/12)-1)*100</f>
        <v>0.892372572874778</v>
      </c>
    </row>
    <row r="708" customFormat="false" ht="15" hidden="false" customHeight="false" outlineLevel="0" collapsed="false">
      <c r="A708" s="6" t="s">
        <v>1150</v>
      </c>
      <c r="B708" s="8" t="n">
        <v>11.25</v>
      </c>
      <c r="C708" s="7" t="n">
        <f aca="false">((1+B708/100)^(1/12)-1)*100</f>
        <v>0.892372572874778</v>
      </c>
    </row>
    <row r="709" customFormat="false" ht="15" hidden="false" customHeight="false" outlineLevel="0" collapsed="false">
      <c r="A709" s="6" t="s">
        <v>488</v>
      </c>
      <c r="B709" s="8" t="n">
        <v>11.25</v>
      </c>
      <c r="C709" s="7" t="n">
        <f aca="false">((1+B709/100)^(1/12)-1)*100</f>
        <v>0.892372572874778</v>
      </c>
    </row>
    <row r="710" customFormat="false" ht="15" hidden="false" customHeight="false" outlineLevel="0" collapsed="false">
      <c r="A710" s="6" t="s">
        <v>489</v>
      </c>
      <c r="B710" s="8" t="n">
        <v>11.25</v>
      </c>
      <c r="C710" s="7" t="n">
        <f aca="false">((1+B710/100)^(1/12)-1)*100</f>
        <v>0.892372572874778</v>
      </c>
    </row>
    <row r="711" customFormat="false" ht="15" hidden="false" customHeight="false" outlineLevel="0" collapsed="false">
      <c r="A711" s="6" t="s">
        <v>490</v>
      </c>
      <c r="B711" s="8" t="n">
        <v>11.25</v>
      </c>
      <c r="C711" s="7" t="n">
        <f aca="false">((1+B711/100)^(1/12)-1)*100</f>
        <v>0.892372572874778</v>
      </c>
    </row>
    <row r="712" customFormat="false" ht="15" hidden="false" customHeight="false" outlineLevel="0" collapsed="false">
      <c r="A712" s="6" t="s">
        <v>491</v>
      </c>
      <c r="B712" s="8" t="n">
        <v>11.25</v>
      </c>
      <c r="C712" s="7" t="n">
        <f aca="false">((1+B712/100)^(1/12)-1)*100</f>
        <v>0.892372572874778</v>
      </c>
    </row>
    <row r="713" customFormat="false" ht="15" hidden="false" customHeight="false" outlineLevel="0" collapsed="false">
      <c r="A713" s="6" t="s">
        <v>492</v>
      </c>
      <c r="B713" s="8" t="n">
        <v>11.25</v>
      </c>
      <c r="C713" s="7" t="n">
        <f aca="false">((1+B713/100)^(1/12)-1)*100</f>
        <v>0.892372572874778</v>
      </c>
    </row>
    <row r="714" customFormat="false" ht="15" hidden="false" customHeight="false" outlineLevel="0" collapsed="false">
      <c r="A714" s="6" t="s">
        <v>1151</v>
      </c>
      <c r="B714" s="8" t="n">
        <v>11.25</v>
      </c>
      <c r="C714" s="7" t="n">
        <f aca="false">((1+B714/100)^(1/12)-1)*100</f>
        <v>0.892372572874778</v>
      </c>
    </row>
    <row r="715" customFormat="false" ht="15" hidden="false" customHeight="false" outlineLevel="0" collapsed="false">
      <c r="A715" s="6" t="s">
        <v>1152</v>
      </c>
      <c r="B715" s="8" t="n">
        <v>11.25</v>
      </c>
      <c r="C715" s="7" t="n">
        <f aca="false">((1+B715/100)^(1/12)-1)*100</f>
        <v>0.892372572874778</v>
      </c>
    </row>
    <row r="716" customFormat="false" ht="15" hidden="false" customHeight="false" outlineLevel="0" collapsed="false">
      <c r="A716" s="6" t="s">
        <v>493</v>
      </c>
      <c r="B716" s="8" t="n">
        <v>11.25</v>
      </c>
      <c r="C716" s="7" t="n">
        <f aca="false">((1+B716/100)^(1/12)-1)*100</f>
        <v>0.892372572874778</v>
      </c>
    </row>
    <row r="717" customFormat="false" ht="15" hidden="false" customHeight="false" outlineLevel="0" collapsed="false">
      <c r="A717" s="6" t="s">
        <v>494</v>
      </c>
      <c r="B717" s="8" t="n">
        <v>11.25</v>
      </c>
      <c r="C717" s="7" t="n">
        <f aca="false">((1+B717/100)^(1/12)-1)*100</f>
        <v>0.892372572874778</v>
      </c>
    </row>
    <row r="718" customFormat="false" ht="15" hidden="false" customHeight="false" outlineLevel="0" collapsed="false">
      <c r="A718" s="6" t="s">
        <v>495</v>
      </c>
      <c r="B718" s="8" t="n">
        <v>11.25</v>
      </c>
      <c r="C718" s="7" t="n">
        <f aca="false">((1+B718/100)^(1/12)-1)*100</f>
        <v>0.892372572874778</v>
      </c>
    </row>
    <row r="719" customFormat="false" ht="15" hidden="false" customHeight="false" outlineLevel="0" collapsed="false">
      <c r="A719" s="6" t="s">
        <v>496</v>
      </c>
      <c r="B719" s="8" t="n">
        <v>12.25</v>
      </c>
      <c r="C719" s="7" t="n">
        <f aca="false">((1+B719/100)^(1/12)-1)*100</f>
        <v>0.967637803321342</v>
      </c>
    </row>
    <row r="720" customFormat="false" ht="15" hidden="false" customHeight="false" outlineLevel="0" collapsed="false">
      <c r="A720" s="6" t="s">
        <v>497</v>
      </c>
      <c r="B720" s="8" t="n">
        <v>12.25</v>
      </c>
      <c r="C720" s="7" t="n">
        <f aca="false">((1+B720/100)^(1/12)-1)*100</f>
        <v>0.967637803321342</v>
      </c>
    </row>
    <row r="721" customFormat="false" ht="15" hidden="false" customHeight="false" outlineLevel="0" collapsed="false">
      <c r="A721" s="6" t="s">
        <v>1153</v>
      </c>
      <c r="B721" s="8" t="n">
        <v>12.25</v>
      </c>
      <c r="C721" s="7" t="n">
        <f aca="false">((1+B721/100)^(1/12)-1)*100</f>
        <v>0.967637803321342</v>
      </c>
    </row>
    <row r="722" customFormat="false" ht="15" hidden="false" customHeight="false" outlineLevel="0" collapsed="false">
      <c r="A722" s="6" t="s">
        <v>1154</v>
      </c>
      <c r="B722" s="8" t="n">
        <v>12.25</v>
      </c>
      <c r="C722" s="7" t="n">
        <f aca="false">((1+B722/100)^(1/12)-1)*100</f>
        <v>0.967637803321342</v>
      </c>
    </row>
    <row r="723" customFormat="false" ht="15" hidden="false" customHeight="false" outlineLevel="0" collapsed="false">
      <c r="A723" s="6" t="s">
        <v>498</v>
      </c>
      <c r="B723" s="8" t="n">
        <v>12.25</v>
      </c>
      <c r="C723" s="7" t="n">
        <f aca="false">((1+B723/100)^(1/12)-1)*100</f>
        <v>0.967637803321342</v>
      </c>
    </row>
    <row r="724" customFormat="false" ht="15" hidden="false" customHeight="false" outlineLevel="0" collapsed="false">
      <c r="A724" s="6" t="s">
        <v>499</v>
      </c>
      <c r="B724" s="8" t="n">
        <v>12.25</v>
      </c>
      <c r="C724" s="7" t="n">
        <f aca="false">((1+B724/100)^(1/12)-1)*100</f>
        <v>0.967637803321342</v>
      </c>
    </row>
    <row r="725" customFormat="false" ht="15" hidden="false" customHeight="false" outlineLevel="0" collapsed="false">
      <c r="A725" s="6" t="s">
        <v>500</v>
      </c>
      <c r="B725" s="8" t="n">
        <v>12.25</v>
      </c>
      <c r="C725" s="7" t="n">
        <f aca="false">((1+B725/100)^(1/12)-1)*100</f>
        <v>0.967637803321342</v>
      </c>
    </row>
    <row r="726" customFormat="false" ht="15" hidden="false" customHeight="false" outlineLevel="0" collapsed="false">
      <c r="A726" s="6" t="s">
        <v>501</v>
      </c>
      <c r="B726" s="8" t="n">
        <v>12.25</v>
      </c>
      <c r="C726" s="7" t="n">
        <f aca="false">((1+B726/100)^(1/12)-1)*100</f>
        <v>0.967637803321342</v>
      </c>
    </row>
    <row r="727" customFormat="false" ht="15" hidden="false" customHeight="false" outlineLevel="0" collapsed="false">
      <c r="A727" s="6" t="s">
        <v>502</v>
      </c>
      <c r="B727" s="8" t="n">
        <v>12.25</v>
      </c>
      <c r="C727" s="7" t="n">
        <f aca="false">((1+B727/100)^(1/12)-1)*100</f>
        <v>0.967637803321342</v>
      </c>
    </row>
    <row r="728" customFormat="false" ht="15" hidden="false" customHeight="false" outlineLevel="0" collapsed="false">
      <c r="A728" s="6" t="s">
        <v>1155</v>
      </c>
      <c r="B728" s="8" t="n">
        <v>12.25</v>
      </c>
      <c r="C728" s="7" t="n">
        <f aca="false">((1+B728/100)^(1/12)-1)*100</f>
        <v>0.967637803321342</v>
      </c>
    </row>
    <row r="729" customFormat="false" ht="15" hidden="false" customHeight="false" outlineLevel="0" collapsed="false">
      <c r="A729" s="6" t="s">
        <v>1156</v>
      </c>
      <c r="B729" s="8" t="n">
        <v>12.25</v>
      </c>
      <c r="C729" s="7" t="n">
        <f aca="false">((1+B729/100)^(1/12)-1)*100</f>
        <v>0.967637803321342</v>
      </c>
    </row>
    <row r="730" customFormat="false" ht="15" hidden="false" customHeight="false" outlineLevel="0" collapsed="false">
      <c r="A730" s="6" t="s">
        <v>503</v>
      </c>
      <c r="B730" s="8" t="n">
        <v>12.25</v>
      </c>
      <c r="C730" s="7" t="n">
        <f aca="false">((1+B730/100)^(1/12)-1)*100</f>
        <v>0.967637803321342</v>
      </c>
    </row>
    <row r="731" customFormat="false" ht="15" hidden="false" customHeight="false" outlineLevel="0" collapsed="false">
      <c r="A731" s="6" t="s">
        <v>504</v>
      </c>
      <c r="B731" s="8" t="n">
        <v>12.25</v>
      </c>
      <c r="C731" s="7" t="n">
        <f aca="false">((1+B731/100)^(1/12)-1)*100</f>
        <v>0.967637803321342</v>
      </c>
    </row>
    <row r="732" customFormat="false" ht="15" hidden="false" customHeight="false" outlineLevel="0" collapsed="false">
      <c r="A732" s="6" t="s">
        <v>1157</v>
      </c>
      <c r="B732" s="8" t="n">
        <v>12.25</v>
      </c>
      <c r="C732" s="7" t="n">
        <f aca="false">((1+B732/100)^(1/12)-1)*100</f>
        <v>0.967637803321342</v>
      </c>
    </row>
    <row r="733" customFormat="false" ht="15" hidden="false" customHeight="false" outlineLevel="0" collapsed="false">
      <c r="A733" s="6" t="s">
        <v>505</v>
      </c>
      <c r="B733" s="8" t="n">
        <v>12.25</v>
      </c>
      <c r="C733" s="7" t="n">
        <f aca="false">((1+B733/100)^(1/12)-1)*100</f>
        <v>0.967637803321342</v>
      </c>
    </row>
    <row r="734" customFormat="false" ht="15" hidden="false" customHeight="false" outlineLevel="0" collapsed="false">
      <c r="A734" s="6" t="s">
        <v>506</v>
      </c>
      <c r="B734" s="8" t="n">
        <v>12.25</v>
      </c>
      <c r="C734" s="7" t="n">
        <f aca="false">((1+B734/100)^(1/12)-1)*100</f>
        <v>0.967637803321342</v>
      </c>
    </row>
    <row r="735" customFormat="false" ht="15" hidden="false" customHeight="false" outlineLevel="0" collapsed="false">
      <c r="A735" s="6" t="s">
        <v>1158</v>
      </c>
      <c r="B735" s="8" t="n">
        <v>12.25</v>
      </c>
      <c r="C735" s="7" t="n">
        <f aca="false">((1+B735/100)^(1/12)-1)*100</f>
        <v>0.967637803321342</v>
      </c>
    </row>
    <row r="736" customFormat="false" ht="15" hidden="false" customHeight="false" outlineLevel="0" collapsed="false">
      <c r="A736" s="6" t="s">
        <v>1159</v>
      </c>
      <c r="B736" s="8" t="n">
        <v>12.25</v>
      </c>
      <c r="C736" s="7" t="n">
        <f aca="false">((1+B736/100)^(1/12)-1)*100</f>
        <v>0.967637803321342</v>
      </c>
    </row>
    <row r="737" customFormat="false" ht="15" hidden="false" customHeight="false" outlineLevel="0" collapsed="false">
      <c r="A737" s="6" t="s">
        <v>507</v>
      </c>
      <c r="B737" s="8" t="n">
        <v>12.25</v>
      </c>
      <c r="C737" s="7" t="n">
        <f aca="false">((1+B737/100)^(1/12)-1)*100</f>
        <v>0.967637803321342</v>
      </c>
    </row>
    <row r="738" customFormat="false" ht="15" hidden="false" customHeight="false" outlineLevel="0" collapsed="false">
      <c r="A738" s="6" t="s">
        <v>508</v>
      </c>
      <c r="B738" s="8" t="n">
        <v>12.25</v>
      </c>
      <c r="C738" s="7" t="n">
        <f aca="false">((1+B738/100)^(1/12)-1)*100</f>
        <v>0.967637803321342</v>
      </c>
    </row>
    <row r="739" customFormat="false" ht="15" hidden="false" customHeight="false" outlineLevel="0" collapsed="false">
      <c r="A739" s="6" t="s">
        <v>1160</v>
      </c>
      <c r="B739" s="8" t="n">
        <v>12.25</v>
      </c>
      <c r="C739" s="7" t="n">
        <f aca="false">((1+B739/100)^(1/12)-1)*100</f>
        <v>0.967637803321342</v>
      </c>
    </row>
    <row r="740" customFormat="false" ht="15" hidden="false" customHeight="false" outlineLevel="0" collapsed="false">
      <c r="A740" s="6" t="s">
        <v>509</v>
      </c>
      <c r="B740" s="8" t="n">
        <v>12.25</v>
      </c>
      <c r="C740" s="7" t="n">
        <f aca="false">((1+B740/100)^(1/12)-1)*100</f>
        <v>0.967637803321342</v>
      </c>
    </row>
    <row r="741" customFormat="false" ht="15" hidden="false" customHeight="false" outlineLevel="0" collapsed="false">
      <c r="A741" s="6" t="s">
        <v>510</v>
      </c>
      <c r="B741" s="8" t="n">
        <v>12.25</v>
      </c>
      <c r="C741" s="7" t="n">
        <f aca="false">((1+B741/100)^(1/12)-1)*100</f>
        <v>0.967637803321342</v>
      </c>
    </row>
    <row r="742" customFormat="false" ht="15" hidden="false" customHeight="false" outlineLevel="0" collapsed="false">
      <c r="A742" s="6" t="s">
        <v>1161</v>
      </c>
      <c r="B742" s="8" t="n">
        <v>12.25</v>
      </c>
      <c r="C742" s="7" t="n">
        <f aca="false">((1+B742/100)^(1/12)-1)*100</f>
        <v>0.967637803321342</v>
      </c>
    </row>
    <row r="743" customFormat="false" ht="15" hidden="false" customHeight="false" outlineLevel="0" collapsed="false">
      <c r="A743" s="6" t="s">
        <v>1162</v>
      </c>
      <c r="B743" s="8" t="n">
        <v>12.25</v>
      </c>
      <c r="C743" s="7" t="n">
        <f aca="false">((1+B743/100)^(1/12)-1)*100</f>
        <v>0.967637803321342</v>
      </c>
    </row>
    <row r="744" customFormat="false" ht="15" hidden="false" customHeight="false" outlineLevel="0" collapsed="false">
      <c r="A744" s="6" t="s">
        <v>511</v>
      </c>
      <c r="B744" s="8" t="n">
        <v>12.25</v>
      </c>
      <c r="C744" s="7" t="n">
        <f aca="false">((1+B744/100)^(1/12)-1)*100</f>
        <v>0.967637803321342</v>
      </c>
    </row>
    <row r="745" customFormat="false" ht="15" hidden="false" customHeight="false" outlineLevel="0" collapsed="false">
      <c r="A745" s="6" t="s">
        <v>512</v>
      </c>
      <c r="B745" s="8" t="n">
        <v>12.25</v>
      </c>
      <c r="C745" s="7" t="n">
        <f aca="false">((1+B745/100)^(1/12)-1)*100</f>
        <v>0.967637803321342</v>
      </c>
    </row>
    <row r="746" customFormat="false" ht="15" hidden="false" customHeight="false" outlineLevel="0" collapsed="false">
      <c r="A746" s="6" t="s">
        <v>513</v>
      </c>
      <c r="B746" s="8" t="n">
        <v>12.25</v>
      </c>
      <c r="C746" s="7" t="n">
        <f aca="false">((1+B746/100)^(1/12)-1)*100</f>
        <v>0.967637803321342</v>
      </c>
    </row>
    <row r="747" customFormat="false" ht="15" hidden="false" customHeight="false" outlineLevel="0" collapsed="false">
      <c r="A747" s="6" t="s">
        <v>514</v>
      </c>
      <c r="B747" s="8" t="n">
        <v>12.25</v>
      </c>
      <c r="C747" s="7" t="n">
        <f aca="false">((1+B747/100)^(1/12)-1)*100</f>
        <v>0.967637803321342</v>
      </c>
    </row>
    <row r="748" customFormat="false" ht="15" hidden="false" customHeight="false" outlineLevel="0" collapsed="false">
      <c r="A748" s="6" t="s">
        <v>515</v>
      </c>
      <c r="B748" s="8" t="n">
        <v>12.25</v>
      </c>
      <c r="C748" s="7" t="n">
        <f aca="false">((1+B748/100)^(1/12)-1)*100</f>
        <v>0.967637803321342</v>
      </c>
    </row>
    <row r="749" customFormat="false" ht="15" hidden="false" customHeight="false" outlineLevel="0" collapsed="false">
      <c r="A749" s="6" t="s">
        <v>1163</v>
      </c>
      <c r="B749" s="8" t="n">
        <v>12.25</v>
      </c>
      <c r="C749" s="7" t="n">
        <f aca="false">((1+B749/100)^(1/12)-1)*100</f>
        <v>0.967637803321342</v>
      </c>
    </row>
    <row r="750" customFormat="false" ht="15" hidden="false" customHeight="false" outlineLevel="0" collapsed="false">
      <c r="A750" s="6" t="s">
        <v>1164</v>
      </c>
      <c r="B750" s="8" t="n">
        <v>12.25</v>
      </c>
      <c r="C750" s="7" t="n">
        <f aca="false">((1+B750/100)^(1/12)-1)*100</f>
        <v>0.967637803321342</v>
      </c>
    </row>
    <row r="751" customFormat="false" ht="15" hidden="false" customHeight="false" outlineLevel="0" collapsed="false">
      <c r="A751" s="6" t="s">
        <v>516</v>
      </c>
      <c r="B751" s="8" t="n">
        <v>12.25</v>
      </c>
      <c r="C751" s="7" t="n">
        <f aca="false">((1+B751/100)^(1/12)-1)*100</f>
        <v>0.967637803321342</v>
      </c>
    </row>
    <row r="752" customFormat="false" ht="15" hidden="false" customHeight="false" outlineLevel="0" collapsed="false">
      <c r="A752" s="6" t="s">
        <v>517</v>
      </c>
      <c r="B752" s="8" t="n">
        <v>12.25</v>
      </c>
      <c r="C752" s="7" t="n">
        <f aca="false">((1+B752/100)^(1/12)-1)*100</f>
        <v>0.967637803321342</v>
      </c>
    </row>
    <row r="753" customFormat="false" ht="15" hidden="false" customHeight="false" outlineLevel="0" collapsed="false">
      <c r="A753" s="6" t="s">
        <v>518</v>
      </c>
      <c r="B753" s="8" t="n">
        <v>12.25</v>
      </c>
      <c r="C753" s="7" t="n">
        <f aca="false">((1+B753/100)^(1/12)-1)*100</f>
        <v>0.967637803321342</v>
      </c>
    </row>
    <row r="754" customFormat="false" ht="15" hidden="false" customHeight="false" outlineLevel="0" collapsed="false">
      <c r="A754" s="6" t="s">
        <v>519</v>
      </c>
      <c r="B754" s="8" t="n">
        <v>12.25</v>
      </c>
      <c r="C754" s="7" t="n">
        <f aca="false">((1+B754/100)^(1/12)-1)*100</f>
        <v>0.967637803321342</v>
      </c>
    </row>
    <row r="755" customFormat="false" ht="15" hidden="false" customHeight="false" outlineLevel="0" collapsed="false">
      <c r="A755" s="6" t="s">
        <v>520</v>
      </c>
      <c r="B755" s="8" t="n">
        <v>12.25</v>
      </c>
      <c r="C755" s="7" t="n">
        <f aca="false">((1+B755/100)^(1/12)-1)*100</f>
        <v>0.967637803321342</v>
      </c>
    </row>
    <row r="756" customFormat="false" ht="15" hidden="false" customHeight="false" outlineLevel="0" collapsed="false">
      <c r="A756" s="6" t="s">
        <v>1165</v>
      </c>
      <c r="B756" s="8" t="n">
        <v>12.25</v>
      </c>
      <c r="C756" s="7" t="n">
        <f aca="false">((1+B756/100)^(1/12)-1)*100</f>
        <v>0.967637803321342</v>
      </c>
    </row>
    <row r="757" customFormat="false" ht="15" hidden="false" customHeight="false" outlineLevel="0" collapsed="false">
      <c r="A757" s="6" t="s">
        <v>1166</v>
      </c>
      <c r="B757" s="8" t="n">
        <v>12.25</v>
      </c>
      <c r="C757" s="7" t="n">
        <f aca="false">((1+B757/100)^(1/12)-1)*100</f>
        <v>0.967637803321342</v>
      </c>
    </row>
    <row r="758" customFormat="false" ht="15" hidden="false" customHeight="false" outlineLevel="0" collapsed="false">
      <c r="A758" s="6" t="s">
        <v>521</v>
      </c>
      <c r="B758" s="8" t="n">
        <v>12.25</v>
      </c>
      <c r="C758" s="7" t="n">
        <f aca="false">((1+B758/100)^(1/12)-1)*100</f>
        <v>0.967637803321342</v>
      </c>
    </row>
    <row r="759" customFormat="false" ht="15" hidden="false" customHeight="false" outlineLevel="0" collapsed="false">
      <c r="A759" s="6" t="s">
        <v>522</v>
      </c>
      <c r="B759" s="8" t="n">
        <v>12.25</v>
      </c>
      <c r="C759" s="7" t="n">
        <f aca="false">((1+B759/100)^(1/12)-1)*100</f>
        <v>0.967637803321342</v>
      </c>
    </row>
    <row r="760" customFormat="false" ht="15" hidden="false" customHeight="false" outlineLevel="0" collapsed="false">
      <c r="A760" s="6" t="s">
        <v>523</v>
      </c>
      <c r="B760" s="8" t="n">
        <v>12.25</v>
      </c>
      <c r="C760" s="7" t="n">
        <f aca="false">((1+B760/100)^(1/12)-1)*100</f>
        <v>0.967637803321342</v>
      </c>
    </row>
    <row r="761" customFormat="false" ht="15" hidden="false" customHeight="false" outlineLevel="0" collapsed="false">
      <c r="A761" s="6" t="s">
        <v>524</v>
      </c>
      <c r="B761" s="8" t="n">
        <v>12.25</v>
      </c>
      <c r="C761" s="7" t="n">
        <f aca="false">((1+B761/100)^(1/12)-1)*100</f>
        <v>0.967637803321342</v>
      </c>
    </row>
    <row r="762" customFormat="false" ht="15" hidden="false" customHeight="false" outlineLevel="0" collapsed="false">
      <c r="A762" s="6" t="s">
        <v>525</v>
      </c>
      <c r="B762" s="8" t="n">
        <v>12.25</v>
      </c>
      <c r="C762" s="7" t="n">
        <f aca="false">((1+B762/100)^(1/12)-1)*100</f>
        <v>0.967637803321342</v>
      </c>
    </row>
    <row r="763" customFormat="false" ht="15" hidden="false" customHeight="false" outlineLevel="0" collapsed="false">
      <c r="A763" s="6" t="s">
        <v>1167</v>
      </c>
      <c r="B763" s="8" t="n">
        <v>12.25</v>
      </c>
      <c r="C763" s="7" t="n">
        <f aca="false">((1+B763/100)^(1/12)-1)*100</f>
        <v>0.967637803321342</v>
      </c>
    </row>
    <row r="764" customFormat="false" ht="15" hidden="false" customHeight="false" outlineLevel="0" collapsed="false">
      <c r="A764" s="6" t="s">
        <v>1168</v>
      </c>
      <c r="B764" s="8" t="n">
        <v>12.25</v>
      </c>
      <c r="C764" s="7" t="n">
        <f aca="false">((1+B764/100)^(1/12)-1)*100</f>
        <v>0.967637803321342</v>
      </c>
    </row>
    <row r="765" customFormat="false" ht="15" hidden="false" customHeight="false" outlineLevel="0" collapsed="false">
      <c r="A765" s="6" t="s">
        <v>526</v>
      </c>
      <c r="B765" s="8" t="n">
        <v>12.25</v>
      </c>
      <c r="C765" s="7" t="n">
        <f aca="false">((1+B765/100)^(1/12)-1)*100</f>
        <v>0.967637803321342</v>
      </c>
    </row>
    <row r="766" customFormat="false" ht="15" hidden="false" customHeight="false" outlineLevel="0" collapsed="false">
      <c r="A766" s="6" t="s">
        <v>527</v>
      </c>
      <c r="B766" s="8" t="n">
        <v>12.25</v>
      </c>
      <c r="C766" s="7" t="n">
        <f aca="false">((1+B766/100)^(1/12)-1)*100</f>
        <v>0.967637803321342</v>
      </c>
    </row>
    <row r="767" customFormat="false" ht="15" hidden="false" customHeight="false" outlineLevel="0" collapsed="false">
      <c r="A767" s="6" t="s">
        <v>528</v>
      </c>
      <c r="B767" s="8" t="n">
        <v>12.25</v>
      </c>
      <c r="C767" s="7" t="n">
        <f aca="false">((1+B767/100)^(1/12)-1)*100</f>
        <v>0.967637803321342</v>
      </c>
    </row>
    <row r="768" customFormat="false" ht="15" hidden="false" customHeight="false" outlineLevel="0" collapsed="false">
      <c r="A768" s="6" t="s">
        <v>529</v>
      </c>
      <c r="B768" s="8" t="n">
        <v>13.25</v>
      </c>
      <c r="C768" s="7" t="n">
        <f aca="false">((1+B768/100)^(1/12)-1)*100</f>
        <v>1.04229088673753</v>
      </c>
    </row>
    <row r="769" customFormat="false" ht="15" hidden="false" customHeight="false" outlineLevel="0" collapsed="false">
      <c r="A769" s="6" t="s">
        <v>530</v>
      </c>
      <c r="B769" s="8" t="n">
        <v>13.25</v>
      </c>
      <c r="C769" s="7" t="n">
        <f aca="false">((1+B769/100)^(1/12)-1)*100</f>
        <v>1.04229088673753</v>
      </c>
    </row>
    <row r="770" customFormat="false" ht="15" hidden="false" customHeight="false" outlineLevel="0" collapsed="false">
      <c r="A770" s="6" t="s">
        <v>1169</v>
      </c>
      <c r="B770" s="8" t="n">
        <v>13.25</v>
      </c>
      <c r="C770" s="7" t="n">
        <f aca="false">((1+B770/100)^(1/12)-1)*100</f>
        <v>1.04229088673753</v>
      </c>
    </row>
    <row r="771" customFormat="false" ht="15" hidden="false" customHeight="false" outlineLevel="0" collapsed="false">
      <c r="A771" s="6" t="s">
        <v>1170</v>
      </c>
      <c r="B771" s="8" t="n">
        <v>13.25</v>
      </c>
      <c r="C771" s="7" t="n">
        <f aca="false">((1+B771/100)^(1/12)-1)*100</f>
        <v>1.04229088673753</v>
      </c>
    </row>
    <row r="772" customFormat="false" ht="15" hidden="false" customHeight="false" outlineLevel="0" collapsed="false">
      <c r="A772" s="6" t="s">
        <v>531</v>
      </c>
      <c r="B772" s="8" t="n">
        <v>13.25</v>
      </c>
      <c r="C772" s="7" t="n">
        <f aca="false">((1+B772/100)^(1/12)-1)*100</f>
        <v>1.04229088673753</v>
      </c>
    </row>
    <row r="773" customFormat="false" ht="15" hidden="false" customHeight="false" outlineLevel="0" collapsed="false">
      <c r="A773" s="6" t="s">
        <v>532</v>
      </c>
      <c r="B773" s="8" t="n">
        <v>13.25</v>
      </c>
      <c r="C773" s="7" t="n">
        <f aca="false">((1+B773/100)^(1/12)-1)*100</f>
        <v>1.04229088673753</v>
      </c>
    </row>
    <row r="774" customFormat="false" ht="15" hidden="false" customHeight="false" outlineLevel="0" collapsed="false">
      <c r="A774" s="6" t="s">
        <v>533</v>
      </c>
      <c r="B774" s="8" t="n">
        <v>13.25</v>
      </c>
      <c r="C774" s="7" t="n">
        <f aca="false">((1+B774/100)^(1/12)-1)*100</f>
        <v>1.04229088673753</v>
      </c>
    </row>
    <row r="775" customFormat="false" ht="15" hidden="false" customHeight="false" outlineLevel="0" collapsed="false">
      <c r="A775" s="6" t="s">
        <v>534</v>
      </c>
      <c r="B775" s="8" t="n">
        <v>13.25</v>
      </c>
      <c r="C775" s="7" t="n">
        <f aca="false">((1+B775/100)^(1/12)-1)*100</f>
        <v>1.04229088673753</v>
      </c>
    </row>
    <row r="776" customFormat="false" ht="15" hidden="false" customHeight="false" outlineLevel="0" collapsed="false">
      <c r="A776" s="6" t="s">
        <v>535</v>
      </c>
      <c r="B776" s="8" t="n">
        <v>13.25</v>
      </c>
      <c r="C776" s="7" t="n">
        <f aca="false">((1+B776/100)^(1/12)-1)*100</f>
        <v>1.04229088673753</v>
      </c>
    </row>
    <row r="777" customFormat="false" ht="15" hidden="false" customHeight="false" outlineLevel="0" collapsed="false">
      <c r="A777" s="6" t="s">
        <v>1171</v>
      </c>
      <c r="B777" s="8" t="n">
        <v>13.25</v>
      </c>
      <c r="C777" s="7" t="n">
        <f aca="false">((1+B777/100)^(1/12)-1)*100</f>
        <v>1.04229088673753</v>
      </c>
    </row>
    <row r="778" customFormat="false" ht="15" hidden="false" customHeight="false" outlineLevel="0" collapsed="false">
      <c r="A778" s="6" t="s">
        <v>1172</v>
      </c>
      <c r="B778" s="8" t="n">
        <v>13.25</v>
      </c>
      <c r="C778" s="7" t="n">
        <f aca="false">((1+B778/100)^(1/12)-1)*100</f>
        <v>1.04229088673753</v>
      </c>
    </row>
    <row r="779" customFormat="false" ht="15" hidden="false" customHeight="false" outlineLevel="0" collapsed="false">
      <c r="A779" s="6" t="s">
        <v>536</v>
      </c>
      <c r="B779" s="8" t="n">
        <v>13.25</v>
      </c>
      <c r="C779" s="7" t="n">
        <f aca="false">((1+B779/100)^(1/12)-1)*100</f>
        <v>1.04229088673753</v>
      </c>
    </row>
    <row r="780" customFormat="false" ht="15" hidden="false" customHeight="false" outlineLevel="0" collapsed="false">
      <c r="A780" s="6" t="s">
        <v>537</v>
      </c>
      <c r="B780" s="8" t="n">
        <v>13.25</v>
      </c>
      <c r="C780" s="7" t="n">
        <f aca="false">((1+B780/100)^(1/12)-1)*100</f>
        <v>1.04229088673753</v>
      </c>
    </row>
    <row r="781" customFormat="false" ht="15" hidden="false" customHeight="false" outlineLevel="0" collapsed="false">
      <c r="A781" s="6" t="s">
        <v>538</v>
      </c>
      <c r="B781" s="8" t="n">
        <v>13.25</v>
      </c>
      <c r="C781" s="7" t="n">
        <f aca="false">((1+B781/100)^(1/12)-1)*100</f>
        <v>1.04229088673753</v>
      </c>
    </row>
    <row r="782" customFormat="false" ht="15" hidden="false" customHeight="false" outlineLevel="0" collapsed="false">
      <c r="A782" s="6" t="s">
        <v>539</v>
      </c>
      <c r="B782" s="8" t="n">
        <v>13.25</v>
      </c>
      <c r="C782" s="7" t="n">
        <f aca="false">((1+B782/100)^(1/12)-1)*100</f>
        <v>1.04229088673753</v>
      </c>
    </row>
    <row r="783" customFormat="false" ht="15" hidden="false" customHeight="false" outlineLevel="0" collapsed="false">
      <c r="A783" s="6" t="s">
        <v>540</v>
      </c>
      <c r="B783" s="8" t="n">
        <v>13.25</v>
      </c>
      <c r="C783" s="7" t="n">
        <f aca="false">((1+B783/100)^(1/12)-1)*100</f>
        <v>1.04229088673753</v>
      </c>
    </row>
    <row r="784" customFormat="false" ht="15" hidden="false" customHeight="false" outlineLevel="0" collapsed="false">
      <c r="A784" s="6" t="s">
        <v>1173</v>
      </c>
      <c r="B784" s="8" t="n">
        <v>13.25</v>
      </c>
      <c r="C784" s="7" t="n">
        <f aca="false">((1+B784/100)^(1/12)-1)*100</f>
        <v>1.04229088673753</v>
      </c>
    </row>
    <row r="785" customFormat="false" ht="15" hidden="false" customHeight="false" outlineLevel="0" collapsed="false">
      <c r="A785" s="6" t="s">
        <v>1174</v>
      </c>
      <c r="B785" s="8" t="n">
        <v>13.25</v>
      </c>
      <c r="C785" s="7" t="n">
        <f aca="false">((1+B785/100)^(1/12)-1)*100</f>
        <v>1.04229088673753</v>
      </c>
    </row>
    <row r="786" customFormat="false" ht="15" hidden="false" customHeight="false" outlineLevel="0" collapsed="false">
      <c r="A786" s="6" t="s">
        <v>541</v>
      </c>
      <c r="B786" s="8" t="n">
        <v>13.25</v>
      </c>
      <c r="C786" s="7" t="n">
        <f aca="false">((1+B786/100)^(1/12)-1)*100</f>
        <v>1.04229088673753</v>
      </c>
    </row>
    <row r="787" customFormat="false" ht="15" hidden="false" customHeight="false" outlineLevel="0" collapsed="false">
      <c r="A787" s="6" t="s">
        <v>542</v>
      </c>
      <c r="B787" s="8" t="n">
        <v>13.25</v>
      </c>
      <c r="C787" s="7" t="n">
        <f aca="false">((1+B787/100)^(1/12)-1)*100</f>
        <v>1.04229088673753</v>
      </c>
    </row>
    <row r="788" customFormat="false" ht="15" hidden="false" customHeight="false" outlineLevel="0" collapsed="false">
      <c r="A788" s="6" t="s">
        <v>543</v>
      </c>
      <c r="B788" s="8" t="n">
        <v>13.25</v>
      </c>
      <c r="C788" s="7" t="n">
        <f aca="false">((1+B788/100)^(1/12)-1)*100</f>
        <v>1.04229088673753</v>
      </c>
    </row>
    <row r="789" customFormat="false" ht="15" hidden="false" customHeight="false" outlineLevel="0" collapsed="false">
      <c r="A789" s="6" t="s">
        <v>544</v>
      </c>
      <c r="B789" s="8" t="n">
        <v>13.25</v>
      </c>
      <c r="C789" s="7" t="n">
        <f aca="false">((1+B789/100)^(1/12)-1)*100</f>
        <v>1.04229088673753</v>
      </c>
    </row>
    <row r="790" customFormat="false" ht="15" hidden="false" customHeight="false" outlineLevel="0" collapsed="false">
      <c r="A790" s="6" t="s">
        <v>545</v>
      </c>
      <c r="B790" s="8" t="n">
        <v>13.25</v>
      </c>
      <c r="C790" s="7" t="n">
        <f aca="false">((1+B790/100)^(1/12)-1)*100</f>
        <v>1.04229088673753</v>
      </c>
    </row>
    <row r="791" customFormat="false" ht="15" hidden="false" customHeight="false" outlineLevel="0" collapsed="false">
      <c r="A791" s="6" t="s">
        <v>1175</v>
      </c>
      <c r="B791" s="8" t="n">
        <v>13.25</v>
      </c>
      <c r="C791" s="7" t="n">
        <f aca="false">((1+B791/100)^(1/12)-1)*100</f>
        <v>1.04229088673753</v>
      </c>
    </row>
    <row r="792" customFormat="false" ht="15" hidden="false" customHeight="false" outlineLevel="0" collapsed="false">
      <c r="A792" s="6" t="s">
        <v>1176</v>
      </c>
      <c r="B792" s="8" t="n">
        <v>13.25</v>
      </c>
      <c r="C792" s="7" t="n">
        <f aca="false">((1+B792/100)^(1/12)-1)*100</f>
        <v>1.04229088673753</v>
      </c>
    </row>
    <row r="793" customFormat="false" ht="15" hidden="false" customHeight="false" outlineLevel="0" collapsed="false">
      <c r="A793" s="6" t="s">
        <v>546</v>
      </c>
      <c r="B793" s="8" t="n">
        <v>13.25</v>
      </c>
      <c r="C793" s="7" t="n">
        <f aca="false">((1+B793/100)^(1/12)-1)*100</f>
        <v>1.04229088673753</v>
      </c>
    </row>
    <row r="794" customFormat="false" ht="15" hidden="false" customHeight="false" outlineLevel="0" collapsed="false">
      <c r="A794" s="6" t="s">
        <v>547</v>
      </c>
      <c r="B794" s="8" t="n">
        <v>13.25</v>
      </c>
      <c r="C794" s="7" t="n">
        <f aca="false">((1+B794/100)^(1/12)-1)*100</f>
        <v>1.04229088673753</v>
      </c>
    </row>
    <row r="795" customFormat="false" ht="15" hidden="false" customHeight="false" outlineLevel="0" collapsed="false">
      <c r="A795" s="6" t="s">
        <v>548</v>
      </c>
      <c r="B795" s="8" t="n">
        <v>13.25</v>
      </c>
      <c r="C795" s="7" t="n">
        <f aca="false">((1+B795/100)^(1/12)-1)*100</f>
        <v>1.04229088673753</v>
      </c>
    </row>
    <row r="796" customFormat="false" ht="15" hidden="false" customHeight="false" outlineLevel="0" collapsed="false">
      <c r="A796" s="6" t="s">
        <v>549</v>
      </c>
      <c r="B796" s="8" t="n">
        <v>13.25</v>
      </c>
      <c r="C796" s="7" t="n">
        <f aca="false">((1+B796/100)^(1/12)-1)*100</f>
        <v>1.04229088673753</v>
      </c>
    </row>
    <row r="797" customFormat="false" ht="15" hidden="false" customHeight="false" outlineLevel="0" collapsed="false">
      <c r="A797" s="6" t="s">
        <v>550</v>
      </c>
      <c r="B797" s="8" t="n">
        <v>13.25</v>
      </c>
      <c r="C797" s="7" t="n">
        <f aca="false">((1+B797/100)^(1/12)-1)*100</f>
        <v>1.04229088673753</v>
      </c>
    </row>
    <row r="798" customFormat="false" ht="15" hidden="false" customHeight="false" outlineLevel="0" collapsed="false">
      <c r="A798" s="6" t="s">
        <v>1177</v>
      </c>
      <c r="B798" s="8" t="n">
        <v>13.25</v>
      </c>
      <c r="C798" s="7" t="n">
        <f aca="false">((1+B798/100)^(1/12)-1)*100</f>
        <v>1.04229088673753</v>
      </c>
    </row>
    <row r="799" customFormat="false" ht="15" hidden="false" customHeight="false" outlineLevel="0" collapsed="false">
      <c r="A799" s="6" t="s">
        <v>1178</v>
      </c>
      <c r="B799" s="8" t="n">
        <v>13.25</v>
      </c>
      <c r="C799" s="7" t="n">
        <f aca="false">((1+B799/100)^(1/12)-1)*100</f>
        <v>1.04229088673753</v>
      </c>
    </row>
    <row r="800" customFormat="false" ht="15" hidden="false" customHeight="false" outlineLevel="0" collapsed="false">
      <c r="A800" s="6" t="s">
        <v>1179</v>
      </c>
      <c r="B800" s="8" t="n">
        <v>13.25</v>
      </c>
      <c r="C800" s="7" t="n">
        <f aca="false">((1+B800/100)^(1/12)-1)*100</f>
        <v>1.04229088673753</v>
      </c>
    </row>
    <row r="801" customFormat="false" ht="15" hidden="false" customHeight="false" outlineLevel="0" collapsed="false">
      <c r="A801" s="6" t="s">
        <v>1180</v>
      </c>
      <c r="B801" s="8" t="n">
        <v>13.25</v>
      </c>
      <c r="C801" s="7" t="n">
        <f aca="false">((1+B801/100)^(1/12)-1)*100</f>
        <v>1.04229088673753</v>
      </c>
    </row>
    <row r="802" customFormat="false" ht="15" hidden="false" customHeight="false" outlineLevel="0" collapsed="false">
      <c r="A802" s="6" t="s">
        <v>551</v>
      </c>
      <c r="B802" s="8" t="n">
        <v>13.25</v>
      </c>
      <c r="C802" s="7" t="n">
        <f aca="false">((1+B802/100)^(1/12)-1)*100</f>
        <v>1.04229088673753</v>
      </c>
    </row>
    <row r="803" customFormat="false" ht="15" hidden="false" customHeight="false" outlineLevel="0" collapsed="false">
      <c r="A803" s="6" t="s">
        <v>552</v>
      </c>
      <c r="B803" s="8" t="n">
        <v>13.25</v>
      </c>
      <c r="C803" s="7" t="n">
        <f aca="false">((1+B803/100)^(1/12)-1)*100</f>
        <v>1.04229088673753</v>
      </c>
    </row>
    <row r="804" customFormat="false" ht="15" hidden="false" customHeight="false" outlineLevel="0" collapsed="false">
      <c r="A804" s="6" t="s">
        <v>553</v>
      </c>
      <c r="B804" s="8" t="n">
        <v>13.25</v>
      </c>
      <c r="C804" s="7" t="n">
        <f aca="false">((1+B804/100)^(1/12)-1)*100</f>
        <v>1.04229088673753</v>
      </c>
    </row>
    <row r="805" customFormat="false" ht="15" hidden="false" customHeight="false" outlineLevel="0" collapsed="false">
      <c r="A805" s="6" t="s">
        <v>1181</v>
      </c>
      <c r="B805" s="8" t="n">
        <v>13.25</v>
      </c>
      <c r="C805" s="7" t="n">
        <f aca="false">((1+B805/100)^(1/12)-1)*100</f>
        <v>1.04229088673753</v>
      </c>
    </row>
    <row r="806" customFormat="false" ht="15" hidden="false" customHeight="false" outlineLevel="0" collapsed="false">
      <c r="A806" s="6" t="s">
        <v>1182</v>
      </c>
      <c r="B806" s="8" t="n">
        <v>13.25</v>
      </c>
      <c r="C806" s="7" t="n">
        <f aca="false">((1+B806/100)^(1/12)-1)*100</f>
        <v>1.04229088673753</v>
      </c>
    </row>
    <row r="807" customFormat="false" ht="15" hidden="false" customHeight="false" outlineLevel="0" collapsed="false">
      <c r="A807" s="6" t="s">
        <v>554</v>
      </c>
      <c r="B807" s="8" t="n">
        <v>13.25</v>
      </c>
      <c r="C807" s="7" t="n">
        <f aca="false">((1+B807/100)^(1/12)-1)*100</f>
        <v>1.04229088673753</v>
      </c>
    </row>
    <row r="808" customFormat="false" ht="15" hidden="false" customHeight="false" outlineLevel="0" collapsed="false">
      <c r="A808" s="6" t="s">
        <v>555</v>
      </c>
      <c r="B808" s="8" t="n">
        <v>13.25</v>
      </c>
      <c r="C808" s="7" t="n">
        <f aca="false">((1+B808/100)^(1/12)-1)*100</f>
        <v>1.04229088673753</v>
      </c>
    </row>
    <row r="809" customFormat="false" ht="15" hidden="false" customHeight="false" outlineLevel="0" collapsed="false">
      <c r="A809" s="6" t="s">
        <v>556</v>
      </c>
      <c r="B809" s="8" t="n">
        <v>13.25</v>
      </c>
      <c r="C809" s="7" t="n">
        <f aca="false">((1+B809/100)^(1/12)-1)*100</f>
        <v>1.04229088673753</v>
      </c>
    </row>
    <row r="810" customFormat="false" ht="15" hidden="false" customHeight="false" outlineLevel="0" collapsed="false">
      <c r="A810" s="6" t="s">
        <v>557</v>
      </c>
      <c r="B810" s="8" t="n">
        <v>13.25</v>
      </c>
      <c r="C810" s="7" t="n">
        <f aca="false">((1+B810/100)^(1/12)-1)*100</f>
        <v>1.04229088673753</v>
      </c>
    </row>
    <row r="811" customFormat="false" ht="15" hidden="false" customHeight="false" outlineLevel="0" collapsed="false">
      <c r="A811" s="6" t="s">
        <v>558</v>
      </c>
      <c r="B811" s="8" t="n">
        <v>13.25</v>
      </c>
      <c r="C811" s="7" t="n">
        <f aca="false">((1+B811/100)^(1/12)-1)*100</f>
        <v>1.04229088673753</v>
      </c>
    </row>
    <row r="812" customFormat="false" ht="15" hidden="false" customHeight="false" outlineLevel="0" collapsed="false">
      <c r="A812" s="6" t="s">
        <v>1183</v>
      </c>
      <c r="B812" s="8" t="n">
        <v>13.25</v>
      </c>
      <c r="C812" s="7" t="n">
        <f aca="false">((1+B812/100)^(1/12)-1)*100</f>
        <v>1.04229088673753</v>
      </c>
    </row>
    <row r="813" customFormat="false" ht="15" hidden="false" customHeight="false" outlineLevel="0" collapsed="false">
      <c r="A813" s="6" t="s">
        <v>1184</v>
      </c>
      <c r="B813" s="8" t="n">
        <v>13.25</v>
      </c>
      <c r="C813" s="7" t="n">
        <f aca="false">((1+B813/100)^(1/12)-1)*100</f>
        <v>1.04229088673753</v>
      </c>
    </row>
    <row r="814" customFormat="false" ht="15" hidden="false" customHeight="false" outlineLevel="0" collapsed="false">
      <c r="A814" s="6" t="s">
        <v>559</v>
      </c>
      <c r="B814" s="8" t="n">
        <v>13.25</v>
      </c>
      <c r="C814" s="7" t="n">
        <f aca="false">((1+B814/100)^(1/12)-1)*100</f>
        <v>1.04229088673753</v>
      </c>
    </row>
    <row r="815" customFormat="false" ht="15" hidden="false" customHeight="false" outlineLevel="0" collapsed="false">
      <c r="A815" s="6" t="s">
        <v>560</v>
      </c>
      <c r="B815" s="8" t="n">
        <v>13.25</v>
      </c>
      <c r="C815" s="7" t="n">
        <f aca="false">((1+B815/100)^(1/12)-1)*100</f>
        <v>1.04229088673753</v>
      </c>
    </row>
    <row r="816" customFormat="false" ht="15" hidden="false" customHeight="false" outlineLevel="0" collapsed="false">
      <c r="A816" s="6" t="s">
        <v>561</v>
      </c>
      <c r="B816" s="8" t="n">
        <v>13.25</v>
      </c>
      <c r="C816" s="7" t="n">
        <f aca="false">((1+B816/100)^(1/12)-1)*100</f>
        <v>1.04229088673753</v>
      </c>
    </row>
    <row r="817" customFormat="false" ht="15" hidden="false" customHeight="false" outlineLevel="0" collapsed="false">
      <c r="A817" s="6" t="s">
        <v>562</v>
      </c>
      <c r="B817" s="8" t="n">
        <v>14.25</v>
      </c>
      <c r="C817" s="7" t="n">
        <f aca="false">((1+B817/100)^(1/12)-1)*100</f>
        <v>1.11634214168019</v>
      </c>
    </row>
    <row r="818" customFormat="false" ht="15" hidden="false" customHeight="false" outlineLevel="0" collapsed="false">
      <c r="A818" s="6" t="s">
        <v>563</v>
      </c>
      <c r="B818" s="8" t="n">
        <v>14.25</v>
      </c>
      <c r="C818" s="7" t="n">
        <f aca="false">((1+B818/100)^(1/12)-1)*100</f>
        <v>1.11634214168019</v>
      </c>
    </row>
    <row r="819" customFormat="false" ht="15" hidden="false" customHeight="false" outlineLevel="0" collapsed="false">
      <c r="A819" s="6" t="s">
        <v>1185</v>
      </c>
      <c r="B819" s="8" t="n">
        <v>14.25</v>
      </c>
      <c r="C819" s="7" t="n">
        <f aca="false">((1+B819/100)^(1/12)-1)*100</f>
        <v>1.11634214168019</v>
      </c>
    </row>
    <row r="820" customFormat="false" ht="15" hidden="false" customHeight="false" outlineLevel="0" collapsed="false">
      <c r="A820" s="6" t="s">
        <v>1186</v>
      </c>
      <c r="B820" s="8" t="n">
        <v>14.25</v>
      </c>
      <c r="C820" s="7" t="n">
        <f aca="false">((1+B820/100)^(1/12)-1)*100</f>
        <v>1.11634214168019</v>
      </c>
    </row>
    <row r="821" customFormat="false" ht="15" hidden="false" customHeight="false" outlineLevel="0" collapsed="false">
      <c r="A821" s="6" t="s">
        <v>564</v>
      </c>
      <c r="B821" s="8" t="n">
        <v>14.25</v>
      </c>
      <c r="C821" s="7" t="n">
        <f aca="false">((1+B821/100)^(1/12)-1)*100</f>
        <v>1.11634214168019</v>
      </c>
    </row>
    <row r="822" customFormat="false" ht="15" hidden="false" customHeight="false" outlineLevel="0" collapsed="false">
      <c r="A822" s="6" t="s">
        <v>565</v>
      </c>
      <c r="B822" s="8" t="n">
        <v>14.25</v>
      </c>
      <c r="C822" s="7" t="n">
        <f aca="false">((1+B822/100)^(1/12)-1)*100</f>
        <v>1.11634214168019</v>
      </c>
    </row>
    <row r="823" customFormat="false" ht="15" hidden="false" customHeight="false" outlineLevel="0" collapsed="false">
      <c r="A823" s="6" t="s">
        <v>566</v>
      </c>
      <c r="B823" s="8" t="n">
        <v>14.25</v>
      </c>
      <c r="C823" s="7" t="n">
        <f aca="false">((1+B823/100)^(1/12)-1)*100</f>
        <v>1.11634214168019</v>
      </c>
    </row>
    <row r="824" customFormat="false" ht="15" hidden="false" customHeight="false" outlineLevel="0" collapsed="false">
      <c r="A824" s="6" t="s">
        <v>567</v>
      </c>
      <c r="B824" s="8" t="n">
        <v>14.25</v>
      </c>
      <c r="C824" s="7" t="n">
        <f aca="false">((1+B824/100)^(1/12)-1)*100</f>
        <v>1.11634214168019</v>
      </c>
    </row>
    <row r="825" customFormat="false" ht="15" hidden="false" customHeight="false" outlineLevel="0" collapsed="false">
      <c r="A825" s="6" t="s">
        <v>568</v>
      </c>
      <c r="B825" s="8" t="n">
        <v>14.25</v>
      </c>
      <c r="C825" s="7" t="n">
        <f aca="false">((1+B825/100)^(1/12)-1)*100</f>
        <v>1.11634214168019</v>
      </c>
    </row>
    <row r="826" customFormat="false" ht="15" hidden="false" customHeight="false" outlineLevel="0" collapsed="false">
      <c r="A826" s="6" t="s">
        <v>1187</v>
      </c>
      <c r="B826" s="8" t="n">
        <v>14.25</v>
      </c>
      <c r="C826" s="7" t="n">
        <f aca="false">((1+B826/100)^(1/12)-1)*100</f>
        <v>1.11634214168019</v>
      </c>
    </row>
    <row r="827" customFormat="false" ht="15" hidden="false" customHeight="false" outlineLevel="0" collapsed="false">
      <c r="A827" s="6" t="s">
        <v>1188</v>
      </c>
      <c r="B827" s="8" t="n">
        <v>14.25</v>
      </c>
      <c r="C827" s="7" t="n">
        <f aca="false">((1+B827/100)^(1/12)-1)*100</f>
        <v>1.11634214168019</v>
      </c>
    </row>
    <row r="828" customFormat="false" ht="15" hidden="false" customHeight="false" outlineLevel="0" collapsed="false">
      <c r="A828" s="6" t="s">
        <v>569</v>
      </c>
      <c r="B828" s="8" t="n">
        <v>14.25</v>
      </c>
      <c r="C828" s="7" t="n">
        <f aca="false">((1+B828/100)^(1/12)-1)*100</f>
        <v>1.11634214168019</v>
      </c>
    </row>
    <row r="829" customFormat="false" ht="15" hidden="false" customHeight="false" outlineLevel="0" collapsed="false">
      <c r="A829" s="6" t="s">
        <v>570</v>
      </c>
      <c r="B829" s="8" t="n">
        <v>14.25</v>
      </c>
      <c r="C829" s="7" t="n">
        <f aca="false">((1+B829/100)^(1/12)-1)*100</f>
        <v>1.11634214168019</v>
      </c>
    </row>
    <row r="830" customFormat="false" ht="15" hidden="false" customHeight="false" outlineLevel="0" collapsed="false">
      <c r="A830" s="6" t="s">
        <v>571</v>
      </c>
      <c r="B830" s="8" t="n">
        <v>14.25</v>
      </c>
      <c r="C830" s="7" t="n">
        <f aca="false">((1+B830/100)^(1/12)-1)*100</f>
        <v>1.11634214168019</v>
      </c>
    </row>
    <row r="831" customFormat="false" ht="15" hidden="false" customHeight="false" outlineLevel="0" collapsed="false">
      <c r="A831" s="6" t="s">
        <v>572</v>
      </c>
      <c r="B831" s="8" t="n">
        <v>14.25</v>
      </c>
      <c r="C831" s="7" t="n">
        <f aca="false">((1+B831/100)^(1/12)-1)*100</f>
        <v>1.11634214168019</v>
      </c>
    </row>
    <row r="832" customFormat="false" ht="15" hidden="false" customHeight="false" outlineLevel="0" collapsed="false">
      <c r="A832" s="6" t="s">
        <v>573</v>
      </c>
      <c r="B832" s="8" t="n">
        <v>14.25</v>
      </c>
      <c r="C832" s="7" t="n">
        <f aca="false">((1+B832/100)^(1/12)-1)*100</f>
        <v>1.11634214168019</v>
      </c>
    </row>
    <row r="833" customFormat="false" ht="15" hidden="false" customHeight="false" outlineLevel="0" collapsed="false">
      <c r="A833" s="6" t="s">
        <v>1189</v>
      </c>
      <c r="B833" s="8" t="n">
        <v>14.25</v>
      </c>
      <c r="C833" s="7" t="n">
        <f aca="false">((1+B833/100)^(1/12)-1)*100</f>
        <v>1.11634214168019</v>
      </c>
    </row>
    <row r="834" customFormat="false" ht="15" hidden="false" customHeight="false" outlineLevel="0" collapsed="false">
      <c r="A834" s="6" t="s">
        <v>1190</v>
      </c>
      <c r="B834" s="8" t="n">
        <v>14.25</v>
      </c>
      <c r="C834" s="7" t="n">
        <f aca="false">((1+B834/100)^(1/12)-1)*100</f>
        <v>1.11634214168019</v>
      </c>
    </row>
    <row r="835" customFormat="false" ht="15" hidden="false" customHeight="false" outlineLevel="0" collapsed="false">
      <c r="A835" s="6" t="s">
        <v>574</v>
      </c>
      <c r="B835" s="8" t="n">
        <v>14.25</v>
      </c>
      <c r="C835" s="7" t="n">
        <f aca="false">((1+B835/100)^(1/12)-1)*100</f>
        <v>1.11634214168019</v>
      </c>
    </row>
    <row r="836" customFormat="false" ht="15" hidden="false" customHeight="false" outlineLevel="0" collapsed="false">
      <c r="A836" s="6" t="s">
        <v>575</v>
      </c>
      <c r="B836" s="8" t="n">
        <v>14.25</v>
      </c>
      <c r="C836" s="7" t="n">
        <f aca="false">((1+B836/100)^(1/12)-1)*100</f>
        <v>1.11634214168019</v>
      </c>
    </row>
    <row r="837" customFormat="false" ht="15" hidden="false" customHeight="false" outlineLevel="0" collapsed="false">
      <c r="A837" s="6" t="s">
        <v>576</v>
      </c>
      <c r="B837" s="8" t="n">
        <v>14.25</v>
      </c>
      <c r="C837" s="7" t="n">
        <f aca="false">((1+B837/100)^(1/12)-1)*100</f>
        <v>1.11634214168019</v>
      </c>
    </row>
    <row r="838" customFormat="false" ht="15" hidden="false" customHeight="false" outlineLevel="0" collapsed="false">
      <c r="A838" s="6" t="s">
        <v>577</v>
      </c>
      <c r="B838" s="8" t="n">
        <v>14.25</v>
      </c>
      <c r="C838" s="7" t="n">
        <f aca="false">((1+B838/100)^(1/12)-1)*100</f>
        <v>1.11634214168019</v>
      </c>
    </row>
    <row r="839" customFormat="false" ht="15" hidden="false" customHeight="false" outlineLevel="0" collapsed="false">
      <c r="A839" s="6" t="s">
        <v>578</v>
      </c>
      <c r="B839" s="8" t="n">
        <v>14.25</v>
      </c>
      <c r="C839" s="7" t="n">
        <f aca="false">((1+B839/100)^(1/12)-1)*100</f>
        <v>1.11634214168019</v>
      </c>
    </row>
    <row r="840" customFormat="false" ht="15" hidden="false" customHeight="false" outlineLevel="0" collapsed="false">
      <c r="A840" s="6" t="s">
        <v>1191</v>
      </c>
      <c r="B840" s="8" t="n">
        <v>14.25</v>
      </c>
      <c r="C840" s="7" t="n">
        <f aca="false">((1+B840/100)^(1/12)-1)*100</f>
        <v>1.11634214168019</v>
      </c>
    </row>
    <row r="841" customFormat="false" ht="15" hidden="false" customHeight="false" outlineLevel="0" collapsed="false">
      <c r="A841" s="6" t="s">
        <v>1192</v>
      </c>
      <c r="B841" s="8" t="n">
        <v>14.25</v>
      </c>
      <c r="C841" s="7" t="n">
        <f aca="false">((1+B841/100)^(1/12)-1)*100</f>
        <v>1.11634214168019</v>
      </c>
    </row>
    <row r="842" customFormat="false" ht="15" hidden="false" customHeight="false" outlineLevel="0" collapsed="false">
      <c r="A842" s="6" t="s">
        <v>579</v>
      </c>
      <c r="B842" s="8" t="n">
        <v>14.25</v>
      </c>
      <c r="C842" s="7" t="n">
        <f aca="false">((1+B842/100)^(1/12)-1)*100</f>
        <v>1.11634214168019</v>
      </c>
    </row>
    <row r="843" customFormat="false" ht="15" hidden="false" customHeight="false" outlineLevel="0" collapsed="false">
      <c r="A843" s="6" t="s">
        <v>580</v>
      </c>
      <c r="B843" s="8" t="n">
        <v>14.25</v>
      </c>
      <c r="C843" s="7" t="n">
        <f aca="false">((1+B843/100)^(1/12)-1)*100</f>
        <v>1.11634214168019</v>
      </c>
    </row>
    <row r="844" customFormat="false" ht="15" hidden="false" customHeight="false" outlineLevel="0" collapsed="false">
      <c r="A844" s="6" t="s">
        <v>581</v>
      </c>
      <c r="B844" s="8" t="n">
        <v>14.25</v>
      </c>
      <c r="C844" s="7" t="n">
        <f aca="false">((1+B844/100)^(1/12)-1)*100</f>
        <v>1.11634214168019</v>
      </c>
    </row>
    <row r="845" customFormat="false" ht="15" hidden="false" customHeight="false" outlineLevel="0" collapsed="false">
      <c r="A845" s="6" t="s">
        <v>582</v>
      </c>
      <c r="B845" s="8" t="n">
        <v>14.25</v>
      </c>
      <c r="C845" s="7" t="n">
        <f aca="false">((1+B845/100)^(1/12)-1)*100</f>
        <v>1.11634214168019</v>
      </c>
    </row>
    <row r="846" customFormat="false" ht="15" hidden="false" customHeight="false" outlineLevel="0" collapsed="false">
      <c r="A846" s="6" t="s">
        <v>1193</v>
      </c>
      <c r="B846" s="8" t="n">
        <v>14.25</v>
      </c>
      <c r="C846" s="7" t="n">
        <f aca="false">((1+B846/100)^(1/12)-1)*100</f>
        <v>1.11634214168019</v>
      </c>
    </row>
    <row r="847" customFormat="false" ht="15" hidden="false" customHeight="false" outlineLevel="0" collapsed="false">
      <c r="A847" s="6" t="s">
        <v>1194</v>
      </c>
      <c r="B847" s="8" t="n">
        <v>14.25</v>
      </c>
      <c r="C847" s="7" t="n">
        <f aca="false">((1+B847/100)^(1/12)-1)*100</f>
        <v>1.11634214168019</v>
      </c>
    </row>
    <row r="848" customFormat="false" ht="15" hidden="false" customHeight="false" outlineLevel="0" collapsed="false">
      <c r="A848" s="6" t="s">
        <v>1195</v>
      </c>
      <c r="B848" s="8" t="n">
        <v>14.25</v>
      </c>
      <c r="C848" s="7" t="n">
        <f aca="false">((1+B848/100)^(1/12)-1)*100</f>
        <v>1.11634214168019</v>
      </c>
    </row>
    <row r="849" customFormat="false" ht="15" hidden="false" customHeight="false" outlineLevel="0" collapsed="false">
      <c r="A849" s="6" t="s">
        <v>1196</v>
      </c>
      <c r="B849" s="8" t="n">
        <v>14.25</v>
      </c>
      <c r="C849" s="7" t="n">
        <f aca="false">((1+B849/100)^(1/12)-1)*100</f>
        <v>1.11634214168019</v>
      </c>
    </row>
    <row r="850" customFormat="false" ht="15" hidden="false" customHeight="false" outlineLevel="0" collapsed="false">
      <c r="A850" s="6" t="s">
        <v>583</v>
      </c>
      <c r="B850" s="8" t="n">
        <v>14.25</v>
      </c>
      <c r="C850" s="7" t="n">
        <f aca="false">((1+B850/100)^(1/12)-1)*100</f>
        <v>1.11634214168019</v>
      </c>
    </row>
    <row r="851" customFormat="false" ht="15" hidden="false" customHeight="false" outlineLevel="0" collapsed="false">
      <c r="A851" s="6" t="s">
        <v>584</v>
      </c>
      <c r="B851" s="8" t="n">
        <v>14.25</v>
      </c>
      <c r="C851" s="7" t="n">
        <f aca="false">((1+B851/100)^(1/12)-1)*100</f>
        <v>1.11634214168019</v>
      </c>
    </row>
    <row r="852" customFormat="false" ht="15" hidden="false" customHeight="false" outlineLevel="0" collapsed="false">
      <c r="A852" s="6" t="s">
        <v>585</v>
      </c>
      <c r="B852" s="8" t="n">
        <v>14.25</v>
      </c>
      <c r="C852" s="7" t="n">
        <f aca="false">((1+B852/100)^(1/12)-1)*100</f>
        <v>1.11634214168019</v>
      </c>
    </row>
    <row r="853" customFormat="false" ht="15" hidden="false" customHeight="false" outlineLevel="0" collapsed="false">
      <c r="A853" s="6" t="s">
        <v>586</v>
      </c>
      <c r="B853" s="8" t="n">
        <v>14.25</v>
      </c>
      <c r="C853" s="7" t="n">
        <f aca="false">((1+B853/100)^(1/12)-1)*100</f>
        <v>1.11634214168019</v>
      </c>
    </row>
    <row r="854" customFormat="false" ht="15" hidden="false" customHeight="false" outlineLevel="0" collapsed="false">
      <c r="A854" s="6" t="s">
        <v>1197</v>
      </c>
      <c r="B854" s="8" t="n">
        <v>14.25</v>
      </c>
      <c r="C854" s="7" t="n">
        <f aca="false">((1+B854/100)^(1/12)-1)*100</f>
        <v>1.11634214168019</v>
      </c>
    </row>
    <row r="855" customFormat="false" ht="15" hidden="false" customHeight="false" outlineLevel="0" collapsed="false">
      <c r="A855" s="6" t="s">
        <v>1198</v>
      </c>
      <c r="B855" s="8" t="n">
        <v>14.25</v>
      </c>
      <c r="C855" s="7" t="n">
        <f aca="false">((1+B855/100)^(1/12)-1)*100</f>
        <v>1.11634214168019</v>
      </c>
    </row>
    <row r="856" customFormat="false" ht="15" hidden="false" customHeight="false" outlineLevel="0" collapsed="false">
      <c r="A856" s="6" t="s">
        <v>587</v>
      </c>
      <c r="B856" s="8" t="n">
        <v>14.25</v>
      </c>
      <c r="C856" s="7" t="n">
        <f aca="false">((1+B856/100)^(1/12)-1)*100</f>
        <v>1.11634214168019</v>
      </c>
    </row>
    <row r="857" customFormat="false" ht="15" hidden="false" customHeight="false" outlineLevel="0" collapsed="false">
      <c r="A857" s="6" t="s">
        <v>588</v>
      </c>
      <c r="B857" s="8" t="n">
        <v>14.25</v>
      </c>
      <c r="C857" s="7" t="n">
        <f aca="false">((1+B857/100)^(1/12)-1)*100</f>
        <v>1.11634214168019</v>
      </c>
    </row>
    <row r="858" customFormat="false" ht="15" hidden="false" customHeight="false" outlineLevel="0" collapsed="false">
      <c r="A858" s="6" t="s">
        <v>589</v>
      </c>
      <c r="B858" s="8" t="n">
        <v>14.25</v>
      </c>
      <c r="C858" s="7" t="n">
        <f aca="false">((1+B858/100)^(1/12)-1)*100</f>
        <v>1.11634214168019</v>
      </c>
    </row>
    <row r="859" customFormat="false" ht="15" hidden="false" customHeight="false" outlineLevel="0" collapsed="false">
      <c r="A859" s="6" t="s">
        <v>1199</v>
      </c>
      <c r="B859" s="8" t="n">
        <v>14.25</v>
      </c>
      <c r="C859" s="7" t="n">
        <f aca="false">((1+B859/100)^(1/12)-1)*100</f>
        <v>1.11634214168019</v>
      </c>
    </row>
    <row r="860" customFormat="false" ht="15" hidden="false" customHeight="false" outlineLevel="0" collapsed="false">
      <c r="A860" s="6" t="s">
        <v>590</v>
      </c>
      <c r="B860" s="8" t="n">
        <v>14.25</v>
      </c>
      <c r="C860" s="7" t="n">
        <f aca="false">((1+B860/100)^(1/12)-1)*100</f>
        <v>1.11634214168019</v>
      </c>
    </row>
    <row r="861" customFormat="false" ht="15" hidden="false" customHeight="false" outlineLevel="0" collapsed="false">
      <c r="A861" s="6" t="s">
        <v>1200</v>
      </c>
      <c r="B861" s="8" t="n">
        <v>14.25</v>
      </c>
      <c r="C861" s="7" t="n">
        <f aca="false">((1+B861/100)^(1/12)-1)*100</f>
        <v>1.11634214168019</v>
      </c>
    </row>
    <row r="862" customFormat="false" ht="15" hidden="false" customHeight="false" outlineLevel="0" collapsed="false">
      <c r="A862" s="6" t="s">
        <v>1201</v>
      </c>
      <c r="B862" s="8" t="n">
        <v>14.25</v>
      </c>
      <c r="C862" s="7" t="n">
        <f aca="false">((1+B862/100)^(1/12)-1)*100</f>
        <v>1.11634214168019</v>
      </c>
    </row>
    <row r="863" customFormat="false" ht="15" hidden="false" customHeight="false" outlineLevel="0" collapsed="false">
      <c r="A863" s="6" t="s">
        <v>591</v>
      </c>
      <c r="B863" s="8" t="n">
        <v>14.25</v>
      </c>
      <c r="C863" s="7" t="n">
        <f aca="false">((1+B863/100)^(1/12)-1)*100</f>
        <v>1.11634214168019</v>
      </c>
    </row>
    <row r="864" customFormat="false" ht="15" hidden="false" customHeight="false" outlineLevel="0" collapsed="false">
      <c r="A864" s="6" t="s">
        <v>592</v>
      </c>
      <c r="B864" s="8" t="n">
        <v>14.25</v>
      </c>
      <c r="C864" s="7" t="n">
        <f aca="false">((1+B864/100)^(1/12)-1)*100</f>
        <v>1.11634214168019</v>
      </c>
    </row>
    <row r="865" customFormat="false" ht="15" hidden="false" customHeight="false" outlineLevel="0" collapsed="false">
      <c r="A865" s="6" t="s">
        <v>593</v>
      </c>
      <c r="B865" s="8" t="n">
        <v>14.25</v>
      </c>
      <c r="C865" s="7" t="n">
        <f aca="false">((1+B865/100)^(1/12)-1)*100</f>
        <v>1.11634214168019</v>
      </c>
    </row>
    <row r="866" customFormat="false" ht="15" hidden="false" customHeight="false" outlineLevel="0" collapsed="false">
      <c r="A866" s="6" t="s">
        <v>594</v>
      </c>
      <c r="B866" s="8" t="n">
        <v>14.75</v>
      </c>
      <c r="C866" s="7" t="n">
        <f aca="false">((1+B866/100)^(1/12)-1)*100</f>
        <v>1.15314523603434</v>
      </c>
    </row>
    <row r="867" customFormat="false" ht="15" hidden="false" customHeight="false" outlineLevel="0" collapsed="false">
      <c r="A867" s="6" t="s">
        <v>595</v>
      </c>
      <c r="B867" s="8" t="n">
        <v>14.75</v>
      </c>
      <c r="C867" s="7" t="n">
        <f aca="false">((1+B867/100)^(1/12)-1)*100</f>
        <v>1.15314523603434</v>
      </c>
    </row>
    <row r="868" customFormat="false" ht="15" hidden="false" customHeight="false" outlineLevel="0" collapsed="false">
      <c r="A868" s="6" t="s">
        <v>1202</v>
      </c>
      <c r="B868" s="8" t="n">
        <v>14.75</v>
      </c>
      <c r="C868" s="7" t="n">
        <f aca="false">((1+B868/100)^(1/12)-1)*100</f>
        <v>1.15314523603434</v>
      </c>
    </row>
    <row r="869" customFormat="false" ht="15" hidden="false" customHeight="false" outlineLevel="0" collapsed="false">
      <c r="A869" s="6" t="s">
        <v>1203</v>
      </c>
      <c r="B869" s="8" t="n">
        <v>14.75</v>
      </c>
      <c r="C869" s="7" t="n">
        <f aca="false">((1+B869/100)^(1/12)-1)*100</f>
        <v>1.15314523603434</v>
      </c>
    </row>
    <row r="870" customFormat="false" ht="15" hidden="false" customHeight="false" outlineLevel="0" collapsed="false">
      <c r="A870" s="6" t="s">
        <v>596</v>
      </c>
      <c r="B870" s="8" t="n">
        <v>14.75</v>
      </c>
      <c r="C870" s="7" t="n">
        <f aca="false">((1+B870/100)^(1/12)-1)*100</f>
        <v>1.15314523603434</v>
      </c>
    </row>
    <row r="871" customFormat="false" ht="15" hidden="false" customHeight="false" outlineLevel="0" collapsed="false">
      <c r="A871" s="6" t="s">
        <v>597</v>
      </c>
      <c r="B871" s="8" t="n">
        <v>14.75</v>
      </c>
      <c r="C871" s="7" t="n">
        <f aca="false">((1+B871/100)^(1/12)-1)*100</f>
        <v>1.15314523603434</v>
      </c>
    </row>
    <row r="872" customFormat="false" ht="15" hidden="false" customHeight="false" outlineLevel="0" collapsed="false">
      <c r="A872" s="6" t="s">
        <v>598</v>
      </c>
      <c r="B872" s="8" t="n">
        <v>14.75</v>
      </c>
      <c r="C872" s="7" t="n">
        <f aca="false">((1+B872/100)^(1/12)-1)*100</f>
        <v>1.15314523603434</v>
      </c>
    </row>
    <row r="873" customFormat="false" ht="15" hidden="false" customHeight="false" outlineLevel="0" collapsed="false">
      <c r="A873" s="6" t="s">
        <v>599</v>
      </c>
      <c r="B873" s="8" t="n">
        <v>14.75</v>
      </c>
      <c r="C873" s="7" t="n">
        <f aca="false">((1+B873/100)^(1/12)-1)*100</f>
        <v>1.15314523603434</v>
      </c>
    </row>
    <row r="874" customFormat="false" ht="15" hidden="false" customHeight="false" outlineLevel="0" collapsed="false">
      <c r="A874" s="6" t="s">
        <v>600</v>
      </c>
      <c r="B874" s="8" t="n">
        <v>14.75</v>
      </c>
      <c r="C874" s="7" t="n">
        <f aca="false">((1+B874/100)^(1/12)-1)*100</f>
        <v>1.15314523603434</v>
      </c>
    </row>
    <row r="875" customFormat="false" ht="15" hidden="false" customHeight="false" outlineLevel="0" collapsed="false">
      <c r="A875" s="6" t="s">
        <v>1204</v>
      </c>
      <c r="B875" s="8" t="n">
        <v>14.75</v>
      </c>
      <c r="C875" s="7" t="n">
        <f aca="false">((1+B875/100)^(1/12)-1)*100</f>
        <v>1.15314523603434</v>
      </c>
    </row>
    <row r="876" customFormat="false" ht="15" hidden="false" customHeight="false" outlineLevel="0" collapsed="false">
      <c r="A876" s="6" t="s">
        <v>1205</v>
      </c>
      <c r="B876" s="8" t="n">
        <v>14.75</v>
      </c>
      <c r="C876" s="7" t="n">
        <f aca="false">((1+B876/100)^(1/12)-1)*100</f>
        <v>1.15314523603434</v>
      </c>
    </row>
    <row r="877" customFormat="false" ht="15" hidden="false" customHeight="false" outlineLevel="0" collapsed="false">
      <c r="A877" s="6" t="s">
        <v>601</v>
      </c>
      <c r="B877" s="8" t="n">
        <v>14.75</v>
      </c>
      <c r="C877" s="7" t="n">
        <f aca="false">((1+B877/100)^(1/12)-1)*100</f>
        <v>1.15314523603434</v>
      </c>
    </row>
    <row r="878" customFormat="false" ht="15" hidden="false" customHeight="false" outlineLevel="0" collapsed="false">
      <c r="A878" s="6" t="s">
        <v>602</v>
      </c>
      <c r="B878" s="8" t="n">
        <v>14.75</v>
      </c>
      <c r="C878" s="7" t="n">
        <f aca="false">((1+B878/100)^(1/12)-1)*100</f>
        <v>1.15314523603434</v>
      </c>
    </row>
    <row r="879" customFormat="false" ht="15" hidden="false" customHeight="false" outlineLevel="0" collapsed="false">
      <c r="A879" s="6" t="s">
        <v>603</v>
      </c>
      <c r="B879" s="8" t="n">
        <v>14.75</v>
      </c>
      <c r="C879" s="7" t="n">
        <f aca="false">((1+B879/100)^(1/12)-1)*100</f>
        <v>1.15314523603434</v>
      </c>
    </row>
    <row r="880" customFormat="false" ht="15" hidden="false" customHeight="false" outlineLevel="0" collapsed="false">
      <c r="A880" s="6" t="s">
        <v>604</v>
      </c>
      <c r="B880" s="8" t="n">
        <v>14.75</v>
      </c>
      <c r="C880" s="7" t="n">
        <f aca="false">((1+B880/100)^(1/12)-1)*100</f>
        <v>1.15314523603434</v>
      </c>
    </row>
    <row r="881" customFormat="false" ht="15" hidden="false" customHeight="false" outlineLevel="0" collapsed="false">
      <c r="A881" s="6" t="s">
        <v>605</v>
      </c>
      <c r="B881" s="8" t="n">
        <v>14.75</v>
      </c>
      <c r="C881" s="7" t="n">
        <f aca="false">((1+B881/100)^(1/12)-1)*100</f>
        <v>1.15314523603434</v>
      </c>
    </row>
    <row r="882" customFormat="false" ht="15" hidden="false" customHeight="false" outlineLevel="0" collapsed="false">
      <c r="A882" s="6" t="s">
        <v>1206</v>
      </c>
      <c r="B882" s="8" t="n">
        <v>14.75</v>
      </c>
      <c r="C882" s="7" t="n">
        <f aca="false">((1+B882/100)^(1/12)-1)*100</f>
        <v>1.15314523603434</v>
      </c>
    </row>
    <row r="883" customFormat="false" ht="15" hidden="false" customHeight="false" outlineLevel="0" collapsed="false">
      <c r="A883" s="6" t="s">
        <v>1207</v>
      </c>
      <c r="B883" s="8" t="n">
        <v>14.75</v>
      </c>
      <c r="C883" s="7" t="n">
        <f aca="false">((1+B883/100)^(1/12)-1)*100</f>
        <v>1.15314523603434</v>
      </c>
    </row>
    <row r="884" customFormat="false" ht="15" hidden="false" customHeight="false" outlineLevel="0" collapsed="false">
      <c r="A884" s="6" t="s">
        <v>606</v>
      </c>
      <c r="B884" s="8" t="n">
        <v>14.75</v>
      </c>
      <c r="C884" s="7" t="n">
        <f aca="false">((1+B884/100)^(1/12)-1)*100</f>
        <v>1.15314523603434</v>
      </c>
    </row>
    <row r="885" customFormat="false" ht="15" hidden="false" customHeight="false" outlineLevel="0" collapsed="false">
      <c r="A885" s="6" t="s">
        <v>607</v>
      </c>
      <c r="B885" s="8" t="n">
        <v>14.75</v>
      </c>
      <c r="C885" s="7" t="n">
        <f aca="false">((1+B885/100)^(1/12)-1)*100</f>
        <v>1.15314523603434</v>
      </c>
    </row>
    <row r="886" customFormat="false" ht="15" hidden="false" customHeight="false" outlineLevel="0" collapsed="false">
      <c r="A886" s="6" t="s">
        <v>608</v>
      </c>
      <c r="B886" s="8" t="n">
        <v>14.75</v>
      </c>
      <c r="C886" s="7" t="n">
        <f aca="false">((1+B886/100)^(1/12)-1)*100</f>
        <v>1.15314523603434</v>
      </c>
    </row>
    <row r="887" customFormat="false" ht="15" hidden="false" customHeight="false" outlineLevel="0" collapsed="false">
      <c r="A887" s="6" t="s">
        <v>609</v>
      </c>
      <c r="B887" s="8" t="n">
        <v>14.75</v>
      </c>
      <c r="C887" s="7" t="n">
        <f aca="false">((1+B887/100)^(1/12)-1)*100</f>
        <v>1.15314523603434</v>
      </c>
    </row>
    <row r="888" customFormat="false" ht="15" hidden="false" customHeight="false" outlineLevel="0" collapsed="false">
      <c r="A888" s="6" t="s">
        <v>610</v>
      </c>
      <c r="B888" s="8" t="n">
        <v>14.75</v>
      </c>
      <c r="C888" s="7" t="n">
        <f aca="false">((1+B888/100)^(1/12)-1)*100</f>
        <v>1.15314523603434</v>
      </c>
    </row>
    <row r="889" customFormat="false" ht="15" hidden="false" customHeight="false" outlineLevel="0" collapsed="false">
      <c r="A889" s="6" t="s">
        <v>1208</v>
      </c>
      <c r="B889" s="8" t="n">
        <v>14.75</v>
      </c>
      <c r="C889" s="7" t="n">
        <f aca="false">((1+B889/100)^(1/12)-1)*100</f>
        <v>1.15314523603434</v>
      </c>
    </row>
    <row r="890" customFormat="false" ht="15" hidden="false" customHeight="false" outlineLevel="0" collapsed="false">
      <c r="A890" s="6" t="s">
        <v>1209</v>
      </c>
      <c r="B890" s="8" t="n">
        <v>14.75</v>
      </c>
      <c r="C890" s="7" t="n">
        <f aca="false">((1+B890/100)^(1/12)-1)*100</f>
        <v>1.15314523603434</v>
      </c>
    </row>
    <row r="891" customFormat="false" ht="15" hidden="false" customHeight="false" outlineLevel="0" collapsed="false">
      <c r="A891" s="6" t="s">
        <v>611</v>
      </c>
      <c r="B891" s="8" t="n">
        <v>14.75</v>
      </c>
      <c r="C891" s="7" t="n">
        <f aca="false">((1+B891/100)^(1/12)-1)*100</f>
        <v>1.15314523603434</v>
      </c>
    </row>
    <row r="892" customFormat="false" ht="15" hidden="false" customHeight="false" outlineLevel="0" collapsed="false">
      <c r="A892" s="6" t="s">
        <v>612</v>
      </c>
      <c r="B892" s="8" t="n">
        <v>14.75</v>
      </c>
      <c r="C892" s="7" t="n">
        <f aca="false">((1+B892/100)^(1/12)-1)*100</f>
        <v>1.15314523603434</v>
      </c>
    </row>
    <row r="893" customFormat="false" ht="15" hidden="false" customHeight="false" outlineLevel="0" collapsed="false">
      <c r="A893" s="6" t="s">
        <v>613</v>
      </c>
      <c r="B893" s="8" t="n">
        <v>14.75</v>
      </c>
      <c r="C893" s="7" t="n">
        <f aca="false">((1+B893/100)^(1/12)-1)*100</f>
        <v>1.15314523603434</v>
      </c>
    </row>
    <row r="894" customFormat="false" ht="15" hidden="false" customHeight="false" outlineLevel="0" collapsed="false">
      <c r="A894" s="6" t="s">
        <v>614</v>
      </c>
      <c r="B894" s="8" t="n">
        <v>14.75</v>
      </c>
      <c r="C894" s="7" t="n">
        <f aca="false">((1+B894/100)^(1/12)-1)*100</f>
        <v>1.15314523603434</v>
      </c>
    </row>
    <row r="895" customFormat="false" ht="15" hidden="false" customHeight="false" outlineLevel="0" collapsed="false">
      <c r="A895" s="6" t="s">
        <v>615</v>
      </c>
      <c r="B895" s="8" t="n">
        <v>14.75</v>
      </c>
      <c r="C895" s="7" t="n">
        <f aca="false">((1+B895/100)^(1/12)-1)*100</f>
        <v>1.15314523603434</v>
      </c>
    </row>
    <row r="896" customFormat="false" ht="15" hidden="false" customHeight="false" outlineLevel="0" collapsed="false">
      <c r="A896" s="6" t="s">
        <v>1210</v>
      </c>
      <c r="B896" s="8" t="n">
        <v>14.75</v>
      </c>
      <c r="C896" s="7" t="n">
        <f aca="false">((1+B896/100)^(1/12)-1)*100</f>
        <v>1.15314523603434</v>
      </c>
    </row>
    <row r="897" customFormat="false" ht="15" hidden="false" customHeight="false" outlineLevel="0" collapsed="false">
      <c r="A897" s="6" t="s">
        <v>1211</v>
      </c>
      <c r="B897" s="8" t="n">
        <v>14.75</v>
      </c>
      <c r="C897" s="7" t="n">
        <f aca="false">((1+B897/100)^(1/12)-1)*100</f>
        <v>1.15314523603434</v>
      </c>
    </row>
    <row r="898" customFormat="false" ht="15" hidden="false" customHeight="false" outlineLevel="0" collapsed="false">
      <c r="A898" s="6" t="s">
        <v>616</v>
      </c>
      <c r="B898" s="8" t="n">
        <v>14.75</v>
      </c>
      <c r="C898" s="7" t="n">
        <f aca="false">((1+B898/100)^(1/12)-1)*100</f>
        <v>1.15314523603434</v>
      </c>
    </row>
    <row r="899" customFormat="false" ht="15" hidden="false" customHeight="false" outlineLevel="0" collapsed="false">
      <c r="A899" s="6" t="s">
        <v>617</v>
      </c>
      <c r="B899" s="8" t="n">
        <v>14.75</v>
      </c>
      <c r="C899" s="7" t="n">
        <f aca="false">((1+B899/100)^(1/12)-1)*100</f>
        <v>1.15314523603434</v>
      </c>
    </row>
    <row r="900" customFormat="false" ht="15" hidden="false" customHeight="false" outlineLevel="0" collapsed="false">
      <c r="A900" s="6" t="s">
        <v>618</v>
      </c>
      <c r="B900" s="8" t="n">
        <v>14.75</v>
      </c>
      <c r="C900" s="7" t="n">
        <f aca="false">((1+B900/100)^(1/12)-1)*100</f>
        <v>1.15314523603434</v>
      </c>
    </row>
    <row r="901" customFormat="false" ht="15" hidden="false" customHeight="false" outlineLevel="0" collapsed="false">
      <c r="A901" s="6" t="s">
        <v>619</v>
      </c>
      <c r="B901" s="8" t="n">
        <v>14.75</v>
      </c>
      <c r="C901" s="7" t="n">
        <f aca="false">((1+B901/100)^(1/12)-1)*100</f>
        <v>1.15314523603434</v>
      </c>
    </row>
    <row r="902" customFormat="false" ht="15" hidden="false" customHeight="false" outlineLevel="0" collapsed="false">
      <c r="A902" s="6" t="s">
        <v>620</v>
      </c>
      <c r="B902" s="8" t="n">
        <v>14.75</v>
      </c>
      <c r="C902" s="7" t="n">
        <f aca="false">((1+B902/100)^(1/12)-1)*100</f>
        <v>1.15314523603434</v>
      </c>
    </row>
    <row r="903" customFormat="false" ht="15" hidden="false" customHeight="false" outlineLevel="0" collapsed="false">
      <c r="A903" s="6" t="s">
        <v>1212</v>
      </c>
      <c r="B903" s="8" t="n">
        <v>14.75</v>
      </c>
      <c r="C903" s="7" t="n">
        <f aca="false">((1+B903/100)^(1/12)-1)*100</f>
        <v>1.15314523603434</v>
      </c>
    </row>
    <row r="904" customFormat="false" ht="15" hidden="false" customHeight="false" outlineLevel="0" collapsed="false">
      <c r="A904" s="6" t="s">
        <v>1213</v>
      </c>
      <c r="B904" s="8" t="n">
        <v>14.75</v>
      </c>
      <c r="C904" s="7" t="n">
        <f aca="false">((1+B904/100)^(1/12)-1)*100</f>
        <v>1.15314523603434</v>
      </c>
    </row>
    <row r="905" customFormat="false" ht="15" hidden="false" customHeight="false" outlineLevel="0" collapsed="false">
      <c r="A905" s="6" t="s">
        <v>621</v>
      </c>
      <c r="B905" s="8" t="n">
        <v>14.75</v>
      </c>
      <c r="C905" s="7" t="n">
        <f aca="false">((1+B905/100)^(1/12)-1)*100</f>
        <v>1.15314523603434</v>
      </c>
    </row>
    <row r="906" customFormat="false" ht="15" hidden="false" customHeight="false" outlineLevel="0" collapsed="false">
      <c r="A906" s="6" t="s">
        <v>622</v>
      </c>
      <c r="B906" s="8" t="n">
        <v>14.75</v>
      </c>
      <c r="C906" s="7" t="n">
        <f aca="false">((1+B906/100)^(1/12)-1)*100</f>
        <v>1.15314523603434</v>
      </c>
    </row>
    <row r="907" customFormat="false" ht="15" hidden="false" customHeight="false" outlineLevel="0" collapsed="false">
      <c r="A907" s="6" t="s">
        <v>623</v>
      </c>
      <c r="B907" s="8" t="n">
        <v>14.75</v>
      </c>
      <c r="C907" s="7" t="n">
        <f aca="false">((1+B907/100)^(1/12)-1)*100</f>
        <v>1.15314523603434</v>
      </c>
    </row>
    <row r="908" customFormat="false" ht="15" hidden="false" customHeight="false" outlineLevel="0" collapsed="false">
      <c r="A908" s="6" t="s">
        <v>1214</v>
      </c>
      <c r="B908" s="8" t="n">
        <v>15</v>
      </c>
      <c r="C908" s="7" t="n">
        <f aca="false">((1+B908/100)^(1/12)-1)*100</f>
        <v>1.17149169198534</v>
      </c>
    </row>
    <row r="909" customFormat="false" ht="15" hidden="false" customHeight="false" outlineLevel="0" collapsed="false">
      <c r="A909" s="6" t="s">
        <v>624</v>
      </c>
      <c r="B909" s="8" t="n">
        <v>15</v>
      </c>
      <c r="C909" s="7" t="n">
        <f aca="false">((1+B909/100)^(1/12)-1)*100</f>
        <v>1.17149169198534</v>
      </c>
    </row>
    <row r="910" customFormat="false" ht="15" hidden="false" customHeight="false" outlineLevel="0" collapsed="false">
      <c r="A910" s="6" t="s">
        <v>1215</v>
      </c>
      <c r="B910" s="8" t="n">
        <v>15</v>
      </c>
      <c r="C910" s="7" t="n">
        <f aca="false">((1+B910/100)^(1/12)-1)*100</f>
        <v>1.17149169198534</v>
      </c>
    </row>
    <row r="911" customFormat="false" ht="15" hidden="false" customHeight="false" outlineLevel="0" collapsed="false">
      <c r="A911" s="6" t="s">
        <v>1216</v>
      </c>
      <c r="B911" s="8" t="n">
        <v>15</v>
      </c>
      <c r="C911" s="7" t="n">
        <f aca="false">((1+B911/100)^(1/12)-1)*100</f>
        <v>1.17149169198534</v>
      </c>
    </row>
    <row r="912" customFormat="false" ht="15" hidden="false" customHeight="false" outlineLevel="0" collapsed="false">
      <c r="A912" s="6" t="s">
        <v>625</v>
      </c>
      <c r="B912" s="8" t="n">
        <v>15</v>
      </c>
      <c r="C912" s="7" t="n">
        <f aca="false">((1+B912/100)^(1/12)-1)*100</f>
        <v>1.17149169198534</v>
      </c>
    </row>
    <row r="913" customFormat="false" ht="15" hidden="false" customHeight="false" outlineLevel="0" collapsed="false">
      <c r="A913" s="6" t="s">
        <v>626</v>
      </c>
      <c r="B913" s="8" t="n">
        <v>15</v>
      </c>
      <c r="C913" s="7" t="n">
        <f aca="false">((1+B913/100)^(1/12)-1)*100</f>
        <v>1.17149169198534</v>
      </c>
    </row>
    <row r="914" customFormat="false" ht="15" hidden="false" customHeight="false" outlineLevel="0" collapsed="false">
      <c r="A914" s="6" t="s">
        <v>627</v>
      </c>
      <c r="B914" s="8" t="n">
        <v>15</v>
      </c>
      <c r="C914" s="7" t="n">
        <f aca="false">((1+B914/100)^(1/12)-1)*100</f>
        <v>1.17149169198534</v>
      </c>
    </row>
    <row r="915" customFormat="false" ht="15" hidden="false" customHeight="false" outlineLevel="0" collapsed="false">
      <c r="A915" s="6" t="s">
        <v>628</v>
      </c>
      <c r="B915" s="8" t="n">
        <v>15</v>
      </c>
      <c r="C915" s="7" t="n">
        <f aca="false">((1+B915/100)^(1/12)-1)*100</f>
        <v>1.17149169198534</v>
      </c>
    </row>
    <row r="916" customFormat="false" ht="15" hidden="false" customHeight="false" outlineLevel="0" collapsed="false">
      <c r="A916" s="6" t="s">
        <v>629</v>
      </c>
      <c r="B916" s="8" t="n">
        <v>15</v>
      </c>
      <c r="C916" s="7" t="n">
        <f aca="false">((1+B916/100)^(1/12)-1)*100</f>
        <v>1.17149169198534</v>
      </c>
    </row>
    <row r="917" customFormat="false" ht="15" hidden="false" customHeight="false" outlineLevel="0" collapsed="false">
      <c r="A917" s="6" t="s">
        <v>1217</v>
      </c>
      <c r="B917" s="8" t="n">
        <v>15</v>
      </c>
      <c r="C917" s="7" t="n">
        <f aca="false">((1+B917/100)^(1/12)-1)*100</f>
        <v>1.17149169198534</v>
      </c>
    </row>
    <row r="918" customFormat="false" ht="15" hidden="false" customHeight="false" outlineLevel="0" collapsed="false">
      <c r="A918" s="6" t="s">
        <v>1218</v>
      </c>
      <c r="B918" s="8" t="n">
        <v>15</v>
      </c>
      <c r="C918" s="7" t="n">
        <f aca="false">((1+B918/100)^(1/12)-1)*100</f>
        <v>1.17149169198534</v>
      </c>
    </row>
    <row r="919" customFormat="false" ht="15" hidden="false" customHeight="false" outlineLevel="0" collapsed="false">
      <c r="A919" s="6" t="s">
        <v>630</v>
      </c>
      <c r="B919" s="8" t="n">
        <v>15</v>
      </c>
      <c r="C919" s="7" t="n">
        <f aca="false">((1+B919/100)^(1/12)-1)*100</f>
        <v>1.17149169198534</v>
      </c>
    </row>
    <row r="920" customFormat="false" ht="15" hidden="false" customHeight="false" outlineLevel="0" collapsed="false">
      <c r="A920" s="6" t="s">
        <v>631</v>
      </c>
      <c r="B920" s="8" t="n">
        <v>15</v>
      </c>
      <c r="C920" s="7" t="n">
        <f aca="false">((1+B920/100)^(1/12)-1)*100</f>
        <v>1.17149169198534</v>
      </c>
    </row>
    <row r="921" customFormat="false" ht="15" hidden="false" customHeight="false" outlineLevel="0" collapsed="false">
      <c r="A921" s="6" t="s">
        <v>632</v>
      </c>
      <c r="B921" s="8" t="n">
        <v>15</v>
      </c>
      <c r="C921" s="7" t="n">
        <f aca="false">((1+B921/100)^(1/12)-1)*100</f>
        <v>1.17149169198534</v>
      </c>
    </row>
    <row r="922" customFormat="false" ht="15" hidden="false" customHeight="false" outlineLevel="0" collapsed="false">
      <c r="A922" s="6" t="s">
        <v>633</v>
      </c>
      <c r="B922" s="8" t="n">
        <v>15</v>
      </c>
      <c r="C922" s="7" t="n">
        <f aca="false">((1+B922/100)^(1/12)-1)*100</f>
        <v>1.17149169198534</v>
      </c>
    </row>
    <row r="923" customFormat="false" ht="15" hidden="false" customHeight="false" outlineLevel="0" collapsed="false">
      <c r="A923" s="6" t="s">
        <v>634</v>
      </c>
      <c r="B923" s="8" t="n">
        <v>15</v>
      </c>
      <c r="C923" s="7" t="n">
        <f aca="false">((1+B923/100)^(1/12)-1)*100</f>
        <v>1.17149169198534</v>
      </c>
    </row>
    <row r="924" customFormat="false" ht="15" hidden="false" customHeight="false" outlineLevel="0" collapsed="false">
      <c r="A924" s="6" t="s">
        <v>1219</v>
      </c>
      <c r="B924" s="8" t="n">
        <v>15</v>
      </c>
      <c r="C924" s="7" t="n">
        <f aca="false">((1+B924/100)^(1/12)-1)*100</f>
        <v>1.17149169198534</v>
      </c>
    </row>
    <row r="925" customFormat="false" ht="15" hidden="false" customHeight="false" outlineLevel="0" collapsed="false">
      <c r="A925" s="6" t="s">
        <v>1220</v>
      </c>
      <c r="B925" s="8" t="n">
        <v>15</v>
      </c>
      <c r="C925" s="7" t="n">
        <f aca="false">((1+B925/100)^(1/12)-1)*100</f>
        <v>1.17149169198534</v>
      </c>
    </row>
    <row r="926" customFormat="false" ht="15" hidden="false" customHeight="false" outlineLevel="0" collapsed="false">
      <c r="A926" s="6" t="s">
        <v>635</v>
      </c>
      <c r="B926" s="8" t="n">
        <v>15</v>
      </c>
      <c r="C926" s="7" t="n">
        <f aca="false">((1+B926/100)^(1/12)-1)*100</f>
        <v>1.17149169198534</v>
      </c>
    </row>
    <row r="927" customFormat="false" ht="15" hidden="false" customHeight="false" outlineLevel="0" collapsed="false">
      <c r="A927" s="6" t="s">
        <v>636</v>
      </c>
      <c r="B927" s="8" t="n">
        <v>15</v>
      </c>
      <c r="C927" s="7" t="n">
        <f aca="false">((1+B927/100)^(1/12)-1)*100</f>
        <v>1.17149169198534</v>
      </c>
    </row>
    <row r="928" customFormat="false" ht="15" hidden="false" customHeight="false" outlineLevel="0" collapsed="false">
      <c r="A928" s="6" t="s">
        <v>637</v>
      </c>
      <c r="B928" s="8" t="n">
        <v>15</v>
      </c>
      <c r="C928" s="7" t="n">
        <f aca="false">((1+B928/100)^(1/12)-1)*100</f>
        <v>1.17149169198534</v>
      </c>
    </row>
    <row r="929" customFormat="false" ht="15" hidden="false" customHeight="false" outlineLevel="0" collapsed="false">
      <c r="A929" s="6" t="s">
        <v>638</v>
      </c>
      <c r="B929" s="8" t="n">
        <v>15</v>
      </c>
      <c r="C929" s="7" t="n">
        <f aca="false">((1+B929/100)^(1/12)-1)*100</f>
        <v>1.17149169198534</v>
      </c>
    </row>
    <row r="930" customFormat="false" ht="15" hidden="false" customHeight="false" outlineLevel="0" collapsed="false">
      <c r="A930" s="6" t="s">
        <v>639</v>
      </c>
      <c r="B930" s="8" t="n">
        <v>15</v>
      </c>
      <c r="C930" s="7" t="n">
        <f aca="false">((1+B930/100)^(1/12)-1)*100</f>
        <v>1.17149169198534</v>
      </c>
    </row>
    <row r="931" customFormat="false" ht="15" hidden="false" customHeight="false" outlineLevel="0" collapsed="false">
      <c r="A931" s="6" t="s">
        <v>1221</v>
      </c>
      <c r="B931" s="8" t="n">
        <v>15</v>
      </c>
      <c r="C931" s="7" t="n">
        <f aca="false">((1+B931/100)^(1/12)-1)*100</f>
        <v>1.17149169198534</v>
      </c>
    </row>
    <row r="932" customFormat="false" ht="15" hidden="false" customHeight="false" outlineLevel="0" collapsed="false">
      <c r="A932" s="6" t="s">
        <v>1222</v>
      </c>
      <c r="B932" s="8" t="n">
        <v>15</v>
      </c>
      <c r="C932" s="7" t="n">
        <f aca="false">((1+B932/100)^(1/12)-1)*100</f>
        <v>1.17149169198534</v>
      </c>
    </row>
    <row r="933" customFormat="false" ht="15" hidden="false" customHeight="false" outlineLevel="0" collapsed="false">
      <c r="A933" s="6" t="s">
        <v>640</v>
      </c>
      <c r="B933" s="8" t="n">
        <v>15</v>
      </c>
      <c r="C933" s="7" t="n">
        <f aca="false">((1+B933/100)^(1/12)-1)*100</f>
        <v>1.17149169198534</v>
      </c>
    </row>
    <row r="934" customFormat="false" ht="15" hidden="false" customHeight="false" outlineLevel="0" collapsed="false">
      <c r="A934" s="6" t="s">
        <v>641</v>
      </c>
      <c r="B934" s="8" t="n">
        <v>15</v>
      </c>
      <c r="C934" s="7" t="n">
        <f aca="false">((1+B934/100)^(1/12)-1)*100</f>
        <v>1.17149169198534</v>
      </c>
    </row>
    <row r="935" customFormat="false" ht="15" hidden="false" customHeight="false" outlineLevel="0" collapsed="false">
      <c r="A935" s="6" t="s">
        <v>642</v>
      </c>
      <c r="B935" s="8" t="n">
        <v>15</v>
      </c>
      <c r="C935" s="7" t="n">
        <f aca="false">((1+B935/100)^(1/12)-1)*100</f>
        <v>1.17149169198534</v>
      </c>
    </row>
    <row r="936" customFormat="false" ht="15" hidden="false" customHeight="false" outlineLevel="0" collapsed="false">
      <c r="A936" s="6" t="s">
        <v>643</v>
      </c>
      <c r="B936" s="8" t="n">
        <v>15</v>
      </c>
      <c r="C936" s="7" t="n">
        <f aca="false">((1+B936/100)^(1/12)-1)*100</f>
        <v>1.17149169198534</v>
      </c>
    </row>
    <row r="937" customFormat="false" ht="15" hidden="false" customHeight="false" outlineLevel="0" collapsed="false">
      <c r="A937" s="6" t="s">
        <v>644</v>
      </c>
      <c r="B937" s="8" t="n">
        <v>15</v>
      </c>
      <c r="C937" s="7" t="n">
        <f aca="false">((1+B937/100)^(1/12)-1)*100</f>
        <v>1.17149169198534</v>
      </c>
    </row>
    <row r="938" customFormat="false" ht="15" hidden="false" customHeight="false" outlineLevel="0" collapsed="false">
      <c r="A938" s="6" t="s">
        <v>1223</v>
      </c>
      <c r="B938" s="8" t="n">
        <v>15</v>
      </c>
      <c r="C938" s="7" t="n">
        <f aca="false">((1+B938/100)^(1/12)-1)*100</f>
        <v>1.17149169198534</v>
      </c>
    </row>
    <row r="939" customFormat="false" ht="15" hidden="false" customHeight="false" outlineLevel="0" collapsed="false">
      <c r="A939" s="6" t="s">
        <v>1224</v>
      </c>
      <c r="B939" s="8" t="n">
        <v>15</v>
      </c>
      <c r="C939" s="7" t="n">
        <f aca="false">((1+B939/100)^(1/12)-1)*100</f>
        <v>1.17149169198534</v>
      </c>
    </row>
    <row r="940" customFormat="false" ht="15" hidden="false" customHeight="false" outlineLevel="0" collapsed="false">
      <c r="A940" s="6" t="s">
        <v>645</v>
      </c>
      <c r="B940" s="8" t="n">
        <v>15</v>
      </c>
      <c r="C940" s="7" t="n">
        <f aca="false">((1+B940/100)^(1/12)-1)*100</f>
        <v>1.17149169198534</v>
      </c>
    </row>
    <row r="941" customFormat="false" ht="15" hidden="false" customHeight="false" outlineLevel="0" collapsed="false">
      <c r="A941" s="6" t="s">
        <v>646</v>
      </c>
      <c r="B941" s="8" t="n">
        <v>15</v>
      </c>
      <c r="C941" s="7" t="n">
        <f aca="false">((1+B941/100)^(1/12)-1)*100</f>
        <v>1.17149169198534</v>
      </c>
    </row>
    <row r="942" customFormat="false" ht="15" hidden="false" customHeight="false" outlineLevel="0" collapsed="false">
      <c r="A942" s="6" t="s">
        <v>647</v>
      </c>
      <c r="B942" s="8" t="n">
        <v>15</v>
      </c>
      <c r="C942" s="7" t="n">
        <f aca="false">((1+B942/100)^(1/12)-1)*100</f>
        <v>1.17149169198534</v>
      </c>
    </row>
    <row r="943" customFormat="false" ht="15" hidden="false" customHeight="false" outlineLevel="0" collapsed="false">
      <c r="A943" s="6" t="s">
        <v>648</v>
      </c>
      <c r="B943" s="8" t="n">
        <v>15</v>
      </c>
      <c r="C943" s="7" t="n">
        <f aca="false">((1+B943/100)^(1/12)-1)*100</f>
        <v>1.17149169198534</v>
      </c>
    </row>
    <row r="944" customFormat="false" ht="15" hidden="false" customHeight="false" outlineLevel="0" collapsed="false">
      <c r="A944" s="6" t="s">
        <v>649</v>
      </c>
      <c r="B944" s="8" t="n">
        <v>15</v>
      </c>
      <c r="C944" s="7" t="n">
        <f aca="false">((1+B944/100)^(1/12)-1)*100</f>
        <v>1.17149169198534</v>
      </c>
    </row>
    <row r="945" customFormat="false" ht="15" hidden="false" customHeight="false" outlineLevel="0" collapsed="false">
      <c r="A945" s="6" t="s">
        <v>1225</v>
      </c>
      <c r="B945" s="8" t="n">
        <v>15</v>
      </c>
      <c r="C945" s="7" t="n">
        <f aca="false">((1+B945/100)^(1/12)-1)*100</f>
        <v>1.17149169198534</v>
      </c>
    </row>
    <row r="946" customFormat="false" ht="15" hidden="false" customHeight="false" outlineLevel="0" collapsed="false">
      <c r="A946" s="6" t="s">
        <v>1226</v>
      </c>
      <c r="B946" s="8" t="n">
        <v>15</v>
      </c>
      <c r="C946" s="7" t="n">
        <f aca="false">((1+B946/100)^(1/12)-1)*100</f>
        <v>1.17149169198534</v>
      </c>
    </row>
    <row r="947" customFormat="false" ht="15" hidden="false" customHeight="false" outlineLevel="0" collapsed="false">
      <c r="A947" s="6" t="s">
        <v>650</v>
      </c>
      <c r="B947" s="8" t="n">
        <v>15</v>
      </c>
      <c r="C947" s="7" t="n">
        <f aca="false">((1+B947/100)^(1/12)-1)*100</f>
        <v>1.17149169198534</v>
      </c>
    </row>
    <row r="948" customFormat="false" ht="15" hidden="false" customHeight="false" outlineLevel="0" collapsed="false">
      <c r="A948" s="6" t="s">
        <v>651</v>
      </c>
      <c r="B948" s="8" t="n">
        <v>15</v>
      </c>
      <c r="C948" s="7" t="n">
        <f aca="false">((1+B948/100)^(1/12)-1)*100</f>
        <v>1.17149169198534</v>
      </c>
    </row>
    <row r="949" customFormat="false" ht="15" hidden="false" customHeight="false" outlineLevel="0" collapsed="false">
      <c r="A949" s="6" t="s">
        <v>652</v>
      </c>
      <c r="B949" s="8" t="n">
        <v>15</v>
      </c>
      <c r="C949" s="7" t="n">
        <f aca="false">((1+B949/100)^(1/12)-1)*100</f>
        <v>1.17149169198534</v>
      </c>
    </row>
    <row r="950" customFormat="false" ht="15" hidden="false" customHeight="false" outlineLevel="0" collapsed="false">
      <c r="A950" s="6" t="s">
        <v>653</v>
      </c>
      <c r="B950" s="8" t="n">
        <v>15</v>
      </c>
      <c r="C950" s="7" t="n">
        <f aca="false">((1+B950/100)^(1/12)-1)*100</f>
        <v>1.17149169198534</v>
      </c>
    </row>
    <row r="951" customFormat="false" ht="15" hidden="false" customHeight="false" outlineLevel="0" collapsed="false">
      <c r="A951" s="6" t="s">
        <v>654</v>
      </c>
      <c r="B951" s="8" t="n">
        <v>15</v>
      </c>
      <c r="C951" s="7" t="n">
        <f aca="false">((1+B951/100)^(1/12)-1)*100</f>
        <v>1.17149169198534</v>
      </c>
    </row>
    <row r="952" customFormat="false" ht="15" hidden="false" customHeight="false" outlineLevel="0" collapsed="false">
      <c r="A952" s="6" t="s">
        <v>1227</v>
      </c>
      <c r="B952" s="8" t="n">
        <v>15</v>
      </c>
      <c r="C952" s="7" t="n">
        <f aca="false">((1+B952/100)^(1/12)-1)*100</f>
        <v>1.17149169198534</v>
      </c>
    </row>
    <row r="953" customFormat="false" ht="15" hidden="false" customHeight="false" outlineLevel="0" collapsed="false">
      <c r="A953" s="6" t="s">
        <v>1228</v>
      </c>
      <c r="B953" s="8" t="n">
        <v>15</v>
      </c>
      <c r="C953" s="7" t="n">
        <f aca="false">((1+B953/100)^(1/12)-1)*100</f>
        <v>1.17149169198534</v>
      </c>
    </row>
    <row r="954" customFormat="false" ht="15" hidden="false" customHeight="false" outlineLevel="0" collapsed="false">
      <c r="A954" s="6" t="s">
        <v>655</v>
      </c>
      <c r="B954" s="8" t="n">
        <v>15</v>
      </c>
      <c r="C954" s="7" t="n">
        <f aca="false">((1+B954/100)^(1/12)-1)*100</f>
        <v>1.17149169198534</v>
      </c>
    </row>
    <row r="955" customFormat="false" ht="15" hidden="false" customHeight="false" outlineLevel="0" collapsed="false">
      <c r="A955" s="6" t="s">
        <v>656</v>
      </c>
      <c r="B955" s="8" t="n">
        <v>15</v>
      </c>
      <c r="C955" s="7" t="n">
        <f aca="false">((1+B955/100)^(1/12)-1)*100</f>
        <v>1.17149169198534</v>
      </c>
    </row>
    <row r="956" customFormat="false" ht="15" hidden="false" customHeight="false" outlineLevel="0" collapsed="false">
      <c r="A956" s="6" t="s">
        <v>657</v>
      </c>
      <c r="B956" s="8" t="n">
        <v>15</v>
      </c>
      <c r="C956" s="7" t="n">
        <f aca="false">((1+B956/100)^(1/12)-1)*100</f>
        <v>1.17149169198534</v>
      </c>
    </row>
    <row r="957" customFormat="false" ht="15" hidden="false" customHeight="false" outlineLevel="0" collapsed="false">
      <c r="A957" s="6" t="s">
        <v>658</v>
      </c>
      <c r="B957" s="8" t="n">
        <v>15</v>
      </c>
      <c r="C957" s="7" t="n">
        <f aca="false">((1+B957/100)^(1/12)-1)*100</f>
        <v>1.17149169198534</v>
      </c>
    </row>
    <row r="958" customFormat="false" ht="15" hidden="false" customHeight="false" outlineLevel="0" collapsed="false">
      <c r="A958" s="6" t="s">
        <v>659</v>
      </c>
      <c r="B958" s="8" t="n">
        <v>15</v>
      </c>
      <c r="C958" s="7" t="n">
        <f aca="false">((1+B958/100)^(1/12)-1)*100</f>
        <v>1.17149169198534</v>
      </c>
    </row>
    <row r="959" customFormat="false" ht="15" hidden="false" customHeight="false" outlineLevel="0" collapsed="false">
      <c r="A959" s="6" t="s">
        <v>1229</v>
      </c>
      <c r="B959" s="8" t="n">
        <v>15</v>
      </c>
      <c r="C959" s="7" t="n">
        <f aca="false">((1+B959/100)^(1/12)-1)*100</f>
        <v>1.17149169198534</v>
      </c>
    </row>
    <row r="960" customFormat="false" ht="15" hidden="false" customHeight="false" outlineLevel="0" collapsed="false">
      <c r="A960" s="6" t="s">
        <v>1230</v>
      </c>
      <c r="B960" s="8" t="n">
        <v>15</v>
      </c>
      <c r="C960" s="7" t="n">
        <f aca="false">((1+B960/100)^(1/12)-1)*100</f>
        <v>1.17149169198534</v>
      </c>
    </row>
    <row r="961" customFormat="false" ht="15" hidden="false" customHeight="false" outlineLevel="0" collapsed="false">
      <c r="A961" s="6" t="s">
        <v>660</v>
      </c>
      <c r="B961" s="8" t="n">
        <v>15</v>
      </c>
      <c r="C961" s="7" t="n">
        <f aca="false">((1+B961/100)^(1/12)-1)*100</f>
        <v>1.17149169198534</v>
      </c>
    </row>
    <row r="962" customFormat="false" ht="15" hidden="false" customHeight="false" outlineLevel="0" collapsed="false">
      <c r="A962" s="6" t="s">
        <v>661</v>
      </c>
      <c r="B962" s="8" t="n">
        <v>15</v>
      </c>
      <c r="C962" s="7" t="n">
        <f aca="false">((1+B962/100)^(1/12)-1)*100</f>
        <v>1.17149169198534</v>
      </c>
    </row>
    <row r="963" customFormat="false" ht="15" hidden="false" customHeight="false" outlineLevel="0" collapsed="false">
      <c r="A963" s="6" t="s">
        <v>662</v>
      </c>
      <c r="B963" s="8" t="n">
        <v>15</v>
      </c>
      <c r="C963" s="7" t="n">
        <f aca="false">((1+B963/100)^(1/12)-1)*100</f>
        <v>1.17149169198534</v>
      </c>
    </row>
    <row r="964" customFormat="false" ht="15" hidden="false" customHeight="false" outlineLevel="0" collapsed="false">
      <c r="A964" s="6" t="s">
        <v>663</v>
      </c>
      <c r="B964" s="8" t="n">
        <v>15</v>
      </c>
      <c r="C964" s="7" t="n">
        <f aca="false">((1+B964/100)^(1/12)-1)*100</f>
        <v>1.17149169198534</v>
      </c>
    </row>
    <row r="965" customFormat="false" ht="15" hidden="false" customHeight="false" outlineLevel="0" collapsed="false">
      <c r="A965" s="6" t="s">
        <v>664</v>
      </c>
      <c r="B965" s="8" t="n">
        <v>15</v>
      </c>
      <c r="C965" s="7" t="n">
        <f aca="false">((1+B965/100)^(1/12)-1)*100</f>
        <v>1.17149169198534</v>
      </c>
    </row>
    <row r="966" customFormat="false" ht="15" hidden="false" customHeight="false" outlineLevel="0" collapsed="false">
      <c r="A966" s="6" t="s">
        <v>1231</v>
      </c>
      <c r="B966" s="8" t="n">
        <v>15</v>
      </c>
      <c r="C966" s="7" t="n">
        <f aca="false">((1+B966/100)^(1/12)-1)*100</f>
        <v>1.17149169198534</v>
      </c>
    </row>
    <row r="967" customFormat="false" ht="15" hidden="false" customHeight="false" outlineLevel="0" collapsed="false">
      <c r="A967" s="6" t="s">
        <v>1232</v>
      </c>
      <c r="B967" s="8" t="n">
        <v>15</v>
      </c>
      <c r="C967" s="7" t="n">
        <f aca="false">((1+B967/100)^(1/12)-1)*100</f>
        <v>1.17149169198534</v>
      </c>
    </row>
    <row r="968" customFormat="false" ht="15" hidden="false" customHeight="false" outlineLevel="0" collapsed="false">
      <c r="A968" s="6" t="s">
        <v>665</v>
      </c>
      <c r="B968" s="8" t="n">
        <v>15</v>
      </c>
      <c r="C968" s="7" t="n">
        <f aca="false">((1+B968/100)^(1/12)-1)*100</f>
        <v>1.17149169198534</v>
      </c>
    </row>
    <row r="969" customFormat="false" ht="15" hidden="false" customHeight="false" outlineLevel="0" collapsed="false">
      <c r="A969" s="6" t="s">
        <v>666</v>
      </c>
      <c r="B969" s="8" t="n">
        <v>15</v>
      </c>
      <c r="C969" s="7" t="n">
        <f aca="false">((1+B969/100)^(1/12)-1)*100</f>
        <v>1.17149169198534</v>
      </c>
    </row>
    <row r="970" customFormat="false" ht="15" hidden="false" customHeight="false" outlineLevel="0" collapsed="false">
      <c r="A970" s="6" t="s">
        <v>667</v>
      </c>
      <c r="B970" s="8" t="n">
        <v>15</v>
      </c>
      <c r="C970" s="7" t="n">
        <f aca="false">((1+B970/100)^(1/12)-1)*100</f>
        <v>1.17149169198534</v>
      </c>
    </row>
    <row r="971" customFormat="false" ht="15" hidden="false" customHeight="false" outlineLevel="0" collapsed="false">
      <c r="A971" s="6" t="s">
        <v>668</v>
      </c>
      <c r="B971" s="8" t="n">
        <v>15</v>
      </c>
      <c r="C971" s="7" t="n">
        <f aca="false">((1+B971/100)^(1/12)-1)*100</f>
        <v>1.17149169198534</v>
      </c>
    </row>
    <row r="972" customFormat="false" ht="15" hidden="false" customHeight="false" outlineLevel="0" collapsed="false">
      <c r="A972" s="6" t="s">
        <v>669</v>
      </c>
      <c r="B972" s="8" t="n">
        <v>15</v>
      </c>
      <c r="C972" s="7" t="n">
        <f aca="false">((1+B972/100)^(1/12)-1)*100</f>
        <v>1.17149169198534</v>
      </c>
    </row>
    <row r="973" customFormat="false" ht="15" hidden="false" customHeight="false" outlineLevel="0" collapsed="false">
      <c r="A973" s="6" t="s">
        <v>1233</v>
      </c>
      <c r="B973" s="8" t="n">
        <v>15</v>
      </c>
      <c r="C973" s="7" t="n">
        <f aca="false">((1+B973/100)^(1/12)-1)*100</f>
        <v>1.17149169198534</v>
      </c>
    </row>
    <row r="974" customFormat="false" ht="15" hidden="false" customHeight="false" outlineLevel="0" collapsed="false">
      <c r="A974" s="6" t="s">
        <v>1234</v>
      </c>
      <c r="B974" s="8" t="n">
        <v>15</v>
      </c>
      <c r="C974" s="7" t="n">
        <f aca="false">((1+B974/100)^(1/12)-1)*100</f>
        <v>1.17149169198534</v>
      </c>
    </row>
    <row r="975" customFormat="false" ht="15" hidden="false" customHeight="false" outlineLevel="0" collapsed="false">
      <c r="A975" s="6" t="s">
        <v>670</v>
      </c>
      <c r="B975" s="8" t="n">
        <v>15</v>
      </c>
      <c r="C975" s="7" t="n">
        <f aca="false">((1+B975/100)^(1/12)-1)*100</f>
        <v>1.17149169198534</v>
      </c>
    </row>
    <row r="976" customFormat="false" ht="15" hidden="false" customHeight="false" outlineLevel="0" collapsed="false">
      <c r="A976" s="6" t="s">
        <v>671</v>
      </c>
      <c r="B976" s="8" t="n">
        <v>15</v>
      </c>
      <c r="C976" s="7" t="n">
        <f aca="false">((1+B976/100)^(1/12)-1)*100</f>
        <v>1.17149169198534</v>
      </c>
    </row>
    <row r="977" customFormat="false" ht="15" hidden="false" customHeight="false" outlineLevel="0" collapsed="false">
      <c r="A977" s="6" t="s">
        <v>672</v>
      </c>
      <c r="B977" s="8" t="n">
        <v>15</v>
      </c>
      <c r="C977" s="7" t="n">
        <f aca="false">((1+B977/100)^(1/12)-1)*100</f>
        <v>1.17149169198534</v>
      </c>
    </row>
    <row r="978" customFormat="false" ht="15" hidden="false" customHeight="false" outlineLevel="0" collapsed="false">
      <c r="A978" s="6" t="s">
        <v>673</v>
      </c>
      <c r="B978" s="8" t="n">
        <v>15</v>
      </c>
      <c r="C978" s="7" t="n">
        <f aca="false">((1+B978/100)^(1/12)-1)*100</f>
        <v>1.17149169198534</v>
      </c>
    </row>
    <row r="979" customFormat="false" ht="15" hidden="false" customHeight="false" outlineLevel="0" collapsed="false">
      <c r="A979" s="6" t="s">
        <v>674</v>
      </c>
      <c r="B979" s="8" t="n">
        <v>15</v>
      </c>
      <c r="C979" s="7" t="n">
        <f aca="false">((1+B979/100)^(1/12)-1)*100</f>
        <v>1.17149169198534</v>
      </c>
    </row>
    <row r="980" customFormat="false" ht="15" hidden="false" customHeight="false" outlineLevel="0" collapsed="false">
      <c r="A980" s="6" t="s">
        <v>1235</v>
      </c>
      <c r="B980" s="8" t="n">
        <v>15</v>
      </c>
      <c r="C980" s="7" t="n">
        <f aca="false">((1+B980/100)^(1/12)-1)*100</f>
        <v>1.17149169198534</v>
      </c>
    </row>
    <row r="981" customFormat="false" ht="15" hidden="false" customHeight="false" outlineLevel="0" collapsed="false">
      <c r="A981" s="6" t="s">
        <v>1236</v>
      </c>
      <c r="B981" s="8" t="n">
        <v>15</v>
      </c>
      <c r="C981" s="7" t="n">
        <f aca="false">((1+B981/100)^(1/12)-1)*100</f>
        <v>1.17149169198534</v>
      </c>
    </row>
    <row r="982" customFormat="false" ht="15" hidden="false" customHeight="false" outlineLevel="0" collapsed="false">
      <c r="A982" s="6" t="s">
        <v>675</v>
      </c>
      <c r="B982" s="8" t="n">
        <v>15</v>
      </c>
      <c r="C982" s="7" t="n">
        <f aca="false">((1+B982/100)^(1/12)-1)*100</f>
        <v>1.17149169198534</v>
      </c>
    </row>
    <row r="983" customFormat="false" ht="15" hidden="false" customHeight="false" outlineLevel="0" collapsed="false">
      <c r="A983" s="6" t="s">
        <v>676</v>
      </c>
      <c r="B983" s="8" t="n">
        <v>15</v>
      </c>
      <c r="C983" s="7" t="n">
        <f aca="false">((1+B983/100)^(1/12)-1)*100</f>
        <v>1.17149169198534</v>
      </c>
    </row>
    <row r="984" customFormat="false" ht="15" hidden="false" customHeight="false" outlineLevel="0" collapsed="false">
      <c r="A984" s="6" t="s">
        <v>677</v>
      </c>
      <c r="B984" s="8" t="n">
        <v>15</v>
      </c>
      <c r="C984" s="7" t="n">
        <f aca="false">((1+B984/100)^(1/12)-1)*100</f>
        <v>1.17149169198534</v>
      </c>
    </row>
    <row r="985" customFormat="false" ht="15" hidden="false" customHeight="false" outlineLevel="0" collapsed="false">
      <c r="A985" s="6" t="s">
        <v>678</v>
      </c>
      <c r="B985" s="8" t="n">
        <v>15</v>
      </c>
      <c r="C985" s="7" t="n">
        <f aca="false">((1+B985/100)^(1/12)-1)*100</f>
        <v>1.17149169198534</v>
      </c>
    </row>
    <row r="986" customFormat="false" ht="15" hidden="false" customHeight="false" outlineLevel="0" collapsed="false">
      <c r="A986" s="6" t="s">
        <v>679</v>
      </c>
      <c r="B986" s="8" t="n">
        <v>15</v>
      </c>
      <c r="C986" s="7" t="n">
        <f aca="false">((1+B986/100)^(1/12)-1)*100</f>
        <v>1.17149169198534</v>
      </c>
    </row>
    <row r="987" customFormat="false" ht="15" hidden="false" customHeight="false" outlineLevel="0" collapsed="false">
      <c r="A987" s="6" t="s">
        <v>1237</v>
      </c>
      <c r="B987" s="8" t="n">
        <v>15</v>
      </c>
      <c r="C987" s="7" t="n">
        <f aca="false">((1+B987/100)^(1/12)-1)*100</f>
        <v>1.17149169198534</v>
      </c>
    </row>
    <row r="988" customFormat="false" ht="15" hidden="false" customHeight="false" outlineLevel="0" collapsed="false">
      <c r="A988" s="6" t="s">
        <v>1238</v>
      </c>
      <c r="B988" s="8" t="n">
        <v>15</v>
      </c>
      <c r="C988" s="7" t="n">
        <f aca="false">((1+B988/100)^(1/12)-1)*100</f>
        <v>1.17149169198534</v>
      </c>
    </row>
    <row r="989" customFormat="false" ht="15" hidden="false" customHeight="false" outlineLevel="0" collapsed="false">
      <c r="A989" s="6" t="s">
        <v>680</v>
      </c>
      <c r="B989" s="8" t="n">
        <v>15</v>
      </c>
      <c r="C989" s="7" t="n">
        <f aca="false">((1+B989/100)^(1/12)-1)*100</f>
        <v>1.17149169198534</v>
      </c>
    </row>
    <row r="990" customFormat="false" ht="15" hidden="false" customHeight="false" outlineLevel="0" collapsed="false">
      <c r="A990" s="6" t="s">
        <v>681</v>
      </c>
      <c r="B990" s="8" t="n">
        <v>15</v>
      </c>
      <c r="C990" s="7" t="n">
        <f aca="false">((1+B990/100)^(1/12)-1)*100</f>
        <v>1.17149169198534</v>
      </c>
    </row>
    <row r="991" customFormat="false" ht="15" hidden="false" customHeight="false" outlineLevel="0" collapsed="false">
      <c r="A991" s="6" t="s">
        <v>682</v>
      </c>
      <c r="B991" s="8" t="n">
        <v>15</v>
      </c>
      <c r="C991" s="7" t="n">
        <f aca="false">((1+B991/100)^(1/12)-1)*100</f>
        <v>1.17149169198534</v>
      </c>
    </row>
    <row r="992" customFormat="false" ht="15" hidden="false" customHeight="false" outlineLevel="0" collapsed="false">
      <c r="A992" s="6" t="s">
        <v>683</v>
      </c>
      <c r="B992" s="8" t="n">
        <v>15</v>
      </c>
      <c r="C992" s="7" t="n">
        <f aca="false">((1+B992/100)^(1/12)-1)*100</f>
        <v>1.17149169198534</v>
      </c>
    </row>
    <row r="993" customFormat="false" ht="15" hidden="false" customHeight="false" outlineLevel="0" collapsed="false">
      <c r="A993" s="6" t="s">
        <v>684</v>
      </c>
      <c r="B993" s="8" t="n">
        <v>15</v>
      </c>
      <c r="C993" s="7" t="n">
        <f aca="false">((1+B993/100)^(1/12)-1)*100</f>
        <v>1.17149169198534</v>
      </c>
    </row>
    <row r="994" customFormat="false" ht="15" hidden="false" customHeight="false" outlineLevel="0" collapsed="false">
      <c r="A994" s="6" t="s">
        <v>1239</v>
      </c>
      <c r="B994" s="8" t="n">
        <v>15</v>
      </c>
      <c r="C994" s="7" t="n">
        <f aca="false">((1+B994/100)^(1/12)-1)*100</f>
        <v>1.17149169198534</v>
      </c>
    </row>
    <row r="995" customFormat="false" ht="15" hidden="false" customHeight="false" outlineLevel="0" collapsed="false">
      <c r="A995" s="6" t="s">
        <v>1240</v>
      </c>
      <c r="B995" s="8" t="n">
        <v>15</v>
      </c>
      <c r="C995" s="7" t="n">
        <f aca="false">((1+B995/100)^(1/12)-1)*100</f>
        <v>1.17149169198534</v>
      </c>
    </row>
    <row r="996" customFormat="false" ht="15" hidden="false" customHeight="false" outlineLevel="0" collapsed="false">
      <c r="A996" s="6" t="s">
        <v>685</v>
      </c>
      <c r="B996" s="8" t="n">
        <v>15</v>
      </c>
      <c r="C996" s="7" t="n">
        <f aca="false">((1+B996/100)^(1/12)-1)*100</f>
        <v>1.17149169198534</v>
      </c>
    </row>
    <row r="997" customFormat="false" ht="15" hidden="false" customHeight="false" outlineLevel="0" collapsed="false">
      <c r="A997" s="6" t="s">
        <v>686</v>
      </c>
      <c r="B997" s="8" t="n">
        <v>15</v>
      </c>
      <c r="C997" s="7" t="n">
        <f aca="false">((1+B997/100)^(1/12)-1)*100</f>
        <v>1.17149169198534</v>
      </c>
    </row>
    <row r="998" customFormat="false" ht="15" hidden="false" customHeight="false" outlineLevel="0" collapsed="false">
      <c r="A998" s="6" t="s">
        <v>687</v>
      </c>
      <c r="B998" s="8" t="n">
        <v>15</v>
      </c>
      <c r="C998" s="7" t="n">
        <f aca="false">((1+B998/100)^(1/12)-1)*100</f>
        <v>1.17149169198534</v>
      </c>
    </row>
    <row r="999" customFormat="false" ht="15" hidden="false" customHeight="false" outlineLevel="0" collapsed="false">
      <c r="A999" s="6" t="s">
        <v>688</v>
      </c>
      <c r="B999" s="8" t="n">
        <v>15</v>
      </c>
      <c r="C999" s="7" t="n">
        <f aca="false">((1+B999/100)^(1/12)-1)*100</f>
        <v>1.17149169198534</v>
      </c>
    </row>
    <row r="1000" customFormat="false" ht="15" hidden="false" customHeight="false" outlineLevel="0" collapsed="false">
      <c r="A1000" s="6" t="s">
        <v>689</v>
      </c>
      <c r="B1000" s="8" t="n">
        <v>15</v>
      </c>
      <c r="C1000" s="7" t="n">
        <f aca="false">((1+B1000/100)^(1/12)-1)*100</f>
        <v>1.17149169198534</v>
      </c>
    </row>
    <row r="1001" customFormat="false" ht="15" hidden="false" customHeight="false" outlineLevel="0" collapsed="false">
      <c r="A1001" s="6" t="s">
        <v>1241</v>
      </c>
      <c r="B1001" s="8" t="n">
        <v>15</v>
      </c>
      <c r="C1001" s="7" t="n">
        <f aca="false">((1+B1001/100)^(1/12)-1)*100</f>
        <v>1.17149169198534</v>
      </c>
    </row>
    <row r="1002" customFormat="false" ht="15" hidden="false" customHeight="false" outlineLevel="0" collapsed="false">
      <c r="A1002" s="6" t="s">
        <v>1242</v>
      </c>
      <c r="B1002" s="8" t="n">
        <v>15</v>
      </c>
      <c r="C1002" s="7" t="n">
        <f aca="false">((1+B1002/100)^(1/12)-1)*100</f>
        <v>1.17149169198534</v>
      </c>
    </row>
    <row r="1003" customFormat="false" ht="15" hidden="false" customHeight="false" outlineLevel="0" collapsed="false">
      <c r="A1003" s="6" t="s">
        <v>690</v>
      </c>
      <c r="B1003" s="8" t="n">
        <v>15</v>
      </c>
      <c r="C1003" s="7" t="n">
        <f aca="false">((1+B1003/100)^(1/12)-1)*100</f>
        <v>1.17149169198534</v>
      </c>
    </row>
    <row r="1004" customFormat="false" ht="15" hidden="false" customHeight="false" outlineLevel="0" collapsed="false">
      <c r="A1004" s="6" t="s">
        <v>691</v>
      </c>
      <c r="B1004" s="8" t="n">
        <v>15</v>
      </c>
      <c r="C1004" s="7" t="n">
        <f aca="false">((1+B1004/100)^(1/12)-1)*100</f>
        <v>1.17149169198534</v>
      </c>
    </row>
    <row r="1005" customFormat="false" ht="15" hidden="false" customHeight="false" outlineLevel="0" collapsed="false">
      <c r="A1005" s="6" t="s">
        <v>692</v>
      </c>
      <c r="B1005" s="8" t="n">
        <v>15</v>
      </c>
      <c r="C1005" s="7" t="n">
        <f aca="false">((1+B1005/100)^(1/12)-1)*100</f>
        <v>1.17149169198534</v>
      </c>
    </row>
    <row r="1006" customFormat="false" ht="15" hidden="false" customHeight="false" outlineLevel="0" collapsed="false">
      <c r="A1006" s="6" t="s">
        <v>693</v>
      </c>
      <c r="B1006" s="8" t="n">
        <v>15</v>
      </c>
      <c r="C1006" s="7" t="n">
        <f aca="false">((1+B1006/100)^(1/12)-1)*100</f>
        <v>1.17149169198534</v>
      </c>
    </row>
    <row r="1007" customFormat="false" ht="15" hidden="false" customHeight="false" outlineLevel="0" collapsed="false">
      <c r="A1007" s="6" t="s">
        <v>694</v>
      </c>
      <c r="B1007" s="8" t="n">
        <v>15</v>
      </c>
      <c r="C1007" s="7" t="n">
        <f aca="false">((1+B1007/100)^(1/12)-1)*100</f>
        <v>1.17149169198534</v>
      </c>
    </row>
    <row r="1008" customFormat="false" ht="15" hidden="false" customHeight="false" outlineLevel="0" collapsed="false">
      <c r="A1008" s="6" t="s">
        <v>1243</v>
      </c>
      <c r="B1008" s="8" t="n">
        <v>15</v>
      </c>
      <c r="C1008" s="7" t="n">
        <f aca="false">((1+B1008/100)^(1/12)-1)*100</f>
        <v>1.17149169198534</v>
      </c>
    </row>
    <row r="1009" customFormat="false" ht="15" hidden="false" customHeight="false" outlineLevel="0" collapsed="false">
      <c r="A1009" s="6" t="s">
        <v>1244</v>
      </c>
      <c r="B1009" s="8" t="n">
        <v>15</v>
      </c>
      <c r="C1009" s="7" t="n">
        <f aca="false">((1+B1009/100)^(1/12)-1)*100</f>
        <v>1.17149169198534</v>
      </c>
    </row>
    <row r="1010" customFormat="false" ht="15" hidden="false" customHeight="false" outlineLevel="0" collapsed="false">
      <c r="A1010" s="6" t="s">
        <v>695</v>
      </c>
      <c r="B1010" s="8" t="n">
        <v>15</v>
      </c>
      <c r="C1010" s="7" t="n">
        <f aca="false">((1+B1010/100)^(1/12)-1)*100</f>
        <v>1.17149169198534</v>
      </c>
    </row>
    <row r="1011" customFormat="false" ht="15" hidden="false" customHeight="false" outlineLevel="0" collapsed="false">
      <c r="A1011" s="6" t="s">
        <v>696</v>
      </c>
      <c r="B1011" s="8" t="n">
        <v>15</v>
      </c>
      <c r="C1011" s="7" t="n">
        <f aca="false">((1+B1011/100)^(1/12)-1)*100</f>
        <v>1.17149169198534</v>
      </c>
    </row>
    <row r="1012" customFormat="false" ht="15" hidden="false" customHeight="false" outlineLevel="0" collapsed="false">
      <c r="A1012" s="6" t="s">
        <v>697</v>
      </c>
      <c r="B1012" s="8" t="n">
        <v>15</v>
      </c>
      <c r="C1012" s="7" t="n">
        <f aca="false">((1+B1012/100)^(1/12)-1)*100</f>
        <v>1.17149169198534</v>
      </c>
    </row>
    <row r="1013" customFormat="false" ht="15" hidden="false" customHeight="false" outlineLevel="0" collapsed="false">
      <c r="A1013" s="6" t="s">
        <v>698</v>
      </c>
      <c r="B1013" s="8" t="n">
        <v>15</v>
      </c>
      <c r="C1013" s="7" t="n">
        <f aca="false">((1+B1013/100)^(1/12)-1)*100</f>
        <v>1.17149169198534</v>
      </c>
    </row>
    <row r="1014" customFormat="false" ht="15" hidden="false" customHeight="false" outlineLevel="0" collapsed="false">
      <c r="A1014" s="6" t="s">
        <v>699</v>
      </c>
      <c r="B1014" s="8" t="n">
        <v>15</v>
      </c>
      <c r="C1014" s="7" t="n">
        <f aca="false">((1+B1014/100)^(1/12)-1)*100</f>
        <v>1.17149169198534</v>
      </c>
    </row>
    <row r="1015" customFormat="false" ht="15" hidden="false" customHeight="false" outlineLevel="0" collapsed="false">
      <c r="A1015" s="6" t="s">
        <v>1245</v>
      </c>
      <c r="B1015" s="8" t="n">
        <v>15</v>
      </c>
      <c r="C1015" s="7" t="n">
        <f aca="false">((1+B1015/100)^(1/12)-1)*100</f>
        <v>1.17149169198534</v>
      </c>
    </row>
    <row r="1016" customFormat="false" ht="15" hidden="false" customHeight="false" outlineLevel="0" collapsed="false">
      <c r="A1016" s="6" t="s">
        <v>1246</v>
      </c>
      <c r="B1016" s="8" t="n">
        <v>15</v>
      </c>
      <c r="C1016" s="7" t="n">
        <f aca="false">((1+B1016/100)^(1/12)-1)*100</f>
        <v>1.17149169198534</v>
      </c>
    </row>
    <row r="1017" customFormat="false" ht="15" hidden="false" customHeight="false" outlineLevel="0" collapsed="false">
      <c r="A1017" s="6" t="s">
        <v>700</v>
      </c>
      <c r="B1017" s="8" t="n">
        <v>15</v>
      </c>
      <c r="C1017" s="7" t="n">
        <f aca="false">((1+B1017/100)^(1/12)-1)*100</f>
        <v>1.17149169198534</v>
      </c>
    </row>
    <row r="1018" customFormat="false" ht="15" hidden="false" customHeight="false" outlineLevel="0" collapsed="false">
      <c r="A1018" s="6" t="s">
        <v>701</v>
      </c>
      <c r="B1018" s="8" t="n">
        <v>15</v>
      </c>
      <c r="C1018" s="7" t="n">
        <f aca="false">((1+B1018/100)^(1/12)-1)*100</f>
        <v>1.17149169198534</v>
      </c>
    </row>
    <row r="1019" customFormat="false" ht="15" hidden="false" customHeight="false" outlineLevel="0" collapsed="false">
      <c r="A1019" s="6" t="s">
        <v>702</v>
      </c>
      <c r="B1019" s="8" t="n">
        <v>15</v>
      </c>
      <c r="C1019" s="7" t="n">
        <f aca="false">((1+B1019/100)^(1/12)-1)*100</f>
        <v>1.17149169198534</v>
      </c>
    </row>
    <row r="1020" customFormat="false" ht="15" hidden="false" customHeight="false" outlineLevel="0" collapsed="false">
      <c r="A1020" s="6" t="s">
        <v>703</v>
      </c>
      <c r="B1020" s="8" t="n">
        <v>15</v>
      </c>
      <c r="C1020" s="7" t="n">
        <f aca="false">((1+B1020/100)^(1/12)-1)*100</f>
        <v>1.17149169198534</v>
      </c>
    </row>
    <row r="1021" customFormat="false" ht="15" hidden="false" customHeight="false" outlineLevel="0" collapsed="false">
      <c r="A1021" s="6" t="s">
        <v>704</v>
      </c>
      <c r="B1021" s="8" t="n">
        <v>15</v>
      </c>
      <c r="C1021" s="7" t="n">
        <f aca="false">((1+B1021/100)^(1/12)-1)*100</f>
        <v>1.17149169198534</v>
      </c>
    </row>
    <row r="1022" customFormat="false" ht="15" hidden="false" customHeight="false" outlineLevel="0" collapsed="false">
      <c r="A1022" s="6" t="s">
        <v>1247</v>
      </c>
      <c r="B1022" s="8" t="n">
        <v>15</v>
      </c>
      <c r="C1022" s="7" t="n">
        <f aca="false">((1+B1022/100)^(1/12)-1)*100</f>
        <v>1.17149169198534</v>
      </c>
    </row>
    <row r="1023" customFormat="false" ht="15" hidden="false" customHeight="false" outlineLevel="0" collapsed="false">
      <c r="A1023" s="6" t="s">
        <v>1248</v>
      </c>
      <c r="B1023" s="8" t="n">
        <v>15</v>
      </c>
      <c r="C1023" s="7" t="n">
        <f aca="false">((1+B1023/100)^(1/12)-1)*100</f>
        <v>1.17149169198534</v>
      </c>
    </row>
    <row r="1024" customFormat="false" ht="15" hidden="false" customHeight="false" outlineLevel="0" collapsed="false">
      <c r="A1024" s="6" t="s">
        <v>705</v>
      </c>
      <c r="B1024" s="8" t="n">
        <v>15</v>
      </c>
      <c r="C1024" s="7" t="n">
        <f aca="false">((1+B1024/100)^(1/12)-1)*100</f>
        <v>1.17149169198534</v>
      </c>
    </row>
    <row r="1025" customFormat="false" ht="15" hidden="false" customHeight="false" outlineLevel="0" collapsed="false">
      <c r="A1025" s="6" t="s">
        <v>706</v>
      </c>
      <c r="B1025" s="8" t="n">
        <v>15</v>
      </c>
      <c r="C1025" s="7" t="n">
        <f aca="false">((1+B1025/100)^(1/12)-1)*100</f>
        <v>1.17149169198534</v>
      </c>
    </row>
    <row r="1026" customFormat="false" ht="15" hidden="false" customHeight="false" outlineLevel="0" collapsed="false">
      <c r="A1026" s="6" t="s">
        <v>707</v>
      </c>
      <c r="B1026" s="8" t="n">
        <v>15</v>
      </c>
      <c r="C1026" s="7" t="n">
        <f aca="false">((1+B1026/100)^(1/12)-1)*100</f>
        <v>1.17149169198534</v>
      </c>
    </row>
    <row r="1027" customFormat="false" ht="15" hidden="false" customHeight="false" outlineLevel="0" collapsed="false">
      <c r="A1027" s="6" t="s">
        <v>708</v>
      </c>
      <c r="B1027" s="8" t="n">
        <v>15</v>
      </c>
      <c r="C1027" s="7" t="n">
        <f aca="false">((1+B1027/100)^(1/12)-1)*100</f>
        <v>1.17149169198534</v>
      </c>
    </row>
    <row r="1028" customFormat="false" ht="15" hidden="false" customHeight="false" outlineLevel="0" collapsed="false">
      <c r="A1028" s="6" t="s">
        <v>709</v>
      </c>
      <c r="B1028" s="8" t="n">
        <v>15</v>
      </c>
      <c r="C1028" s="7" t="n">
        <f aca="false">((1+B1028/100)^(1/12)-1)*100</f>
        <v>1.17149169198534</v>
      </c>
    </row>
    <row r="1029" customFormat="false" ht="15" hidden="false" customHeight="false" outlineLevel="0" collapsed="false">
      <c r="A1029" s="6" t="s">
        <v>1249</v>
      </c>
      <c r="B1029" s="8" t="n">
        <v>15</v>
      </c>
      <c r="C1029" s="7" t="n">
        <f aca="false">((1+B1029/100)^(1/12)-1)*100</f>
        <v>1.17149169198534</v>
      </c>
    </row>
    <row r="1030" customFormat="false" ht="15" hidden="false" customHeight="false" outlineLevel="0" collapsed="false">
      <c r="A1030" s="6" t="s">
        <v>1250</v>
      </c>
      <c r="B1030" s="8" t="n">
        <v>15</v>
      </c>
      <c r="C1030" s="7" t="n">
        <f aca="false">((1+B1030/100)^(1/12)-1)*100</f>
        <v>1.17149169198534</v>
      </c>
    </row>
    <row r="1031" customFormat="false" ht="15" hidden="false" customHeight="false" outlineLevel="0" collapsed="false">
      <c r="A1031" s="6" t="s">
        <v>710</v>
      </c>
      <c r="B1031" s="8" t="n">
        <v>15</v>
      </c>
      <c r="C1031" s="7" t="n">
        <f aca="false">((1+B1031/100)^(1/12)-1)*100</f>
        <v>1.17149169198534</v>
      </c>
    </row>
    <row r="1032" customFormat="false" ht="15" hidden="false" customHeight="false" outlineLevel="0" collapsed="false">
      <c r="A1032" s="6" t="s">
        <v>711</v>
      </c>
      <c r="B1032" s="8" t="n">
        <v>15</v>
      </c>
      <c r="C1032" s="7" t="n">
        <f aca="false">((1+B1032/100)^(1/12)-1)*100</f>
        <v>1.17149169198534</v>
      </c>
    </row>
    <row r="1033" customFormat="false" ht="15" hidden="false" customHeight="false" outlineLevel="0" collapsed="false">
      <c r="A1033" s="6" t="s">
        <v>712</v>
      </c>
      <c r="B1033" s="8" t="n">
        <v>15</v>
      </c>
      <c r="C1033" s="7" t="n">
        <f aca="false">((1+B1033/100)^(1/12)-1)*100</f>
        <v>1.17149169198534</v>
      </c>
    </row>
    <row r="1034" customFormat="false" ht="15" hidden="false" customHeight="false" outlineLevel="0" collapsed="false">
      <c r="A1034" s="6" t="s">
        <v>713</v>
      </c>
      <c r="B1034" s="8" t="n">
        <v>15</v>
      </c>
      <c r="C1034" s="7" t="n">
        <f aca="false">((1+B1034/100)^(1/12)-1)*100</f>
        <v>1.17149169198534</v>
      </c>
    </row>
    <row r="1035" customFormat="false" ht="15" hidden="false" customHeight="false" outlineLevel="0" collapsed="false">
      <c r="A1035" s="6" t="s">
        <v>714</v>
      </c>
      <c r="B1035" s="8" t="n">
        <v>15</v>
      </c>
      <c r="C1035" s="7" t="n">
        <f aca="false">((1+B1035/100)^(1/12)-1)*100</f>
        <v>1.17149169198534</v>
      </c>
    </row>
    <row r="1036" customFormat="false" ht="15" hidden="false" customHeight="false" outlineLevel="0" collapsed="false">
      <c r="A1036" s="6" t="s">
        <v>1251</v>
      </c>
      <c r="B1036" s="8" t="n">
        <v>15</v>
      </c>
      <c r="C1036" s="7" t="n">
        <f aca="false">((1+B1036/100)^(1/12)-1)*100</f>
        <v>1.17149169198534</v>
      </c>
    </row>
    <row r="1037" customFormat="false" ht="15" hidden="false" customHeight="false" outlineLevel="0" collapsed="false">
      <c r="A1037" s="6" t="s">
        <v>1252</v>
      </c>
      <c r="B1037" s="8" t="n">
        <v>15</v>
      </c>
      <c r="C1037" s="7" t="n">
        <f aca="false">((1+B1037/100)^(1/12)-1)*100</f>
        <v>1.17149169198534</v>
      </c>
    </row>
    <row r="1038" customFormat="false" ht="15" hidden="false" customHeight="false" outlineLevel="0" collapsed="false">
      <c r="A1038" s="6" t="s">
        <v>715</v>
      </c>
      <c r="B1038" s="8" t="n">
        <v>15</v>
      </c>
      <c r="C1038" s="7" t="n">
        <f aca="false">((1+B1038/100)^(1/12)-1)*100</f>
        <v>1.17149169198534</v>
      </c>
    </row>
    <row r="1039" customFormat="false" ht="15" hidden="false" customHeight="false" outlineLevel="0" collapsed="false">
      <c r="A1039" s="6" t="s">
        <v>716</v>
      </c>
      <c r="B1039" s="8" t="n">
        <v>15</v>
      </c>
      <c r="C1039" s="7" t="n">
        <f aca="false">((1+B1039/100)^(1/12)-1)*100</f>
        <v>1.17149169198534</v>
      </c>
    </row>
    <row r="1040" customFormat="false" ht="15" hidden="false" customHeight="false" outlineLevel="0" collapsed="false">
      <c r="A1040" s="6" t="s">
        <v>717</v>
      </c>
      <c r="B1040" s="8" t="n">
        <v>15</v>
      </c>
      <c r="C1040" s="7" t="n">
        <f aca="false">((1+B1040/100)^(1/12)-1)*100</f>
        <v>1.17149169198534</v>
      </c>
    </row>
    <row r="1041" customFormat="false" ht="15" hidden="false" customHeight="false" outlineLevel="0" collapsed="false">
      <c r="A1041" s="6" t="s">
        <v>718</v>
      </c>
      <c r="B1041" s="8" t="n">
        <v>15</v>
      </c>
      <c r="C1041" s="7" t="n">
        <f aca="false">((1+B1041/100)^(1/12)-1)*100</f>
        <v>1.17149169198534</v>
      </c>
    </row>
    <row r="1042" customFormat="false" ht="15" hidden="false" customHeight="false" outlineLevel="0" collapsed="false">
      <c r="A1042" s="6" t="s">
        <v>719</v>
      </c>
      <c r="B1042" s="8" t="n">
        <v>15</v>
      </c>
      <c r="C1042" s="7" t="n">
        <f aca="false">((1+B1042/100)^(1/12)-1)*100</f>
        <v>1.17149169198534</v>
      </c>
    </row>
    <row r="1043" customFormat="false" ht="15" hidden="false" customHeight="false" outlineLevel="0" collapsed="false">
      <c r="A1043" s="6" t="s">
        <v>1253</v>
      </c>
      <c r="B1043" s="8" t="n">
        <v>15</v>
      </c>
      <c r="C1043" s="7" t="n">
        <f aca="false">((1+B1043/100)^(1/12)-1)*100</f>
        <v>1.17149169198534</v>
      </c>
    </row>
    <row r="1044" customFormat="false" ht="15" hidden="false" customHeight="false" outlineLevel="0" collapsed="false">
      <c r="A1044" s="6" t="s">
        <v>1254</v>
      </c>
      <c r="B1044" s="8" t="n">
        <v>15</v>
      </c>
      <c r="C1044" s="7" t="n">
        <f aca="false">((1+B1044/100)^(1/12)-1)*100</f>
        <v>1.17149169198534</v>
      </c>
    </row>
    <row r="1045" customFormat="false" ht="15" hidden="false" customHeight="false" outlineLevel="0" collapsed="false">
      <c r="A1045" s="6" t="s">
        <v>720</v>
      </c>
      <c r="B1045" s="8" t="n">
        <v>15</v>
      </c>
      <c r="C1045" s="7" t="n">
        <f aca="false">((1+B1045/100)^(1/12)-1)*100</f>
        <v>1.17149169198534</v>
      </c>
    </row>
    <row r="1046" customFormat="false" ht="15" hidden="false" customHeight="false" outlineLevel="0" collapsed="false">
      <c r="A1046" s="6" t="s">
        <v>721</v>
      </c>
      <c r="B1046" s="8" t="n">
        <v>15</v>
      </c>
      <c r="C1046" s="7" t="n">
        <f aca="false">((1+B1046/100)^(1/12)-1)*100</f>
        <v>1.17149169198534</v>
      </c>
    </row>
    <row r="1047" customFormat="false" ht="15" hidden="false" customHeight="false" outlineLevel="0" collapsed="false">
      <c r="A1047" s="6" t="s">
        <v>722</v>
      </c>
      <c r="B1047" s="8" t="n">
        <v>15</v>
      </c>
      <c r="C1047" s="7" t="n">
        <f aca="false">((1+B1047/100)^(1/12)-1)*100</f>
        <v>1.17149169198534</v>
      </c>
    </row>
    <row r="1048" customFormat="false" ht="15" hidden="false" customHeight="false" outlineLevel="0" collapsed="false">
      <c r="A1048" s="6" t="s">
        <v>723</v>
      </c>
      <c r="B1048" s="8" t="n">
        <v>15</v>
      </c>
      <c r="C1048" s="7" t="n">
        <f aca="false">((1+B1048/100)^(1/12)-1)*100</f>
        <v>1.17149169198534</v>
      </c>
    </row>
    <row r="1049" customFormat="false" ht="15" hidden="false" customHeight="false" outlineLevel="0" collapsed="false">
      <c r="A1049" s="6" t="s">
        <v>724</v>
      </c>
      <c r="B1049" s="8" t="n">
        <v>15</v>
      </c>
      <c r="C1049" s="7" t="n">
        <f aca="false">((1+B1049/100)^(1/12)-1)*100</f>
        <v>1.17149169198534</v>
      </c>
    </row>
    <row r="1050" customFormat="false" ht="15" hidden="false" customHeight="false" outlineLevel="0" collapsed="false">
      <c r="A1050" s="6" t="s">
        <v>1255</v>
      </c>
      <c r="B1050" s="8" t="n">
        <v>15</v>
      </c>
      <c r="C1050" s="7" t="n">
        <f aca="false">((1+B1050/100)^(1/12)-1)*100</f>
        <v>1.17149169198534</v>
      </c>
    </row>
    <row r="1051" customFormat="false" ht="15" hidden="false" customHeight="false" outlineLevel="0" collapsed="false">
      <c r="A1051" s="6" t="s">
        <v>1256</v>
      </c>
      <c r="B1051" s="8" t="n">
        <v>15</v>
      </c>
      <c r="C1051" s="7" t="n">
        <f aca="false">((1+B1051/100)^(1/12)-1)*100</f>
        <v>1.17149169198534</v>
      </c>
    </row>
    <row r="1052" customFormat="false" ht="15" hidden="false" customHeight="false" outlineLevel="0" collapsed="false">
      <c r="A1052" s="6" t="s">
        <v>725</v>
      </c>
      <c r="B1052" s="8" t="n">
        <v>15</v>
      </c>
      <c r="C1052" s="7" t="n">
        <f aca="false">((1+B1052/100)^(1/12)-1)*100</f>
        <v>1.17149169198534</v>
      </c>
    </row>
    <row r="1053" customFormat="false" ht="15" hidden="false" customHeight="false" outlineLevel="0" collapsed="false">
      <c r="A1053" s="6" t="s">
        <v>726</v>
      </c>
      <c r="B1053" s="8" t="n">
        <v>15</v>
      </c>
      <c r="C1053" s="7" t="n">
        <f aca="false">((1+B1053/100)^(1/12)-1)*100</f>
        <v>1.17149169198534</v>
      </c>
    </row>
    <row r="1054" customFormat="false" ht="15" hidden="false" customHeight="false" outlineLevel="0" collapsed="false">
      <c r="A1054" s="6" t="s">
        <v>727</v>
      </c>
      <c r="B1054" s="8" t="n">
        <v>15</v>
      </c>
      <c r="C1054" s="7" t="n">
        <f aca="false">((1+B1054/100)^(1/12)-1)*100</f>
        <v>1.17149169198534</v>
      </c>
    </row>
    <row r="1055" customFormat="false" ht="15" hidden="false" customHeight="false" outlineLevel="0" collapsed="false">
      <c r="A1055" s="6" t="s">
        <v>728</v>
      </c>
      <c r="B1055" s="8" t="n">
        <v>15</v>
      </c>
      <c r="C1055" s="7" t="n">
        <f aca="false">((1+B1055/100)^(1/12)-1)*100</f>
        <v>1.17149169198534</v>
      </c>
    </row>
    <row r="1056" customFormat="false" ht="15" hidden="false" customHeight="false" outlineLevel="0" collapsed="false">
      <c r="A1056" s="6" t="s">
        <v>729</v>
      </c>
      <c r="B1056" s="8" t="n">
        <v>15</v>
      </c>
      <c r="C1056" s="7" t="n">
        <f aca="false">((1+B1056/100)^(1/12)-1)*100</f>
        <v>1.17149169198534</v>
      </c>
    </row>
    <row r="1057" customFormat="false" ht="15" hidden="false" customHeight="false" outlineLevel="0" collapsed="false">
      <c r="A1057" s="6" t="s">
        <v>1257</v>
      </c>
      <c r="B1057" s="8" t="n">
        <v>15</v>
      </c>
      <c r="C1057" s="7" t="n">
        <f aca="false">((1+B1057/100)^(1/12)-1)*100</f>
        <v>1.17149169198534</v>
      </c>
    </row>
    <row r="1058" customFormat="false" ht="15" hidden="false" customHeight="false" outlineLevel="0" collapsed="false">
      <c r="A1058" s="6" t="s">
        <v>1258</v>
      </c>
      <c r="B1058" s="8" t="n">
        <v>15</v>
      </c>
      <c r="C1058" s="7" t="n">
        <f aca="false">((1+B1058/100)^(1/12)-1)*100</f>
        <v>1.17149169198534</v>
      </c>
    </row>
    <row r="1059" customFormat="false" ht="15" hidden="false" customHeight="false" outlineLevel="0" collapsed="false">
      <c r="A1059" s="6" t="s">
        <v>730</v>
      </c>
      <c r="B1059" s="8" t="n">
        <v>15</v>
      </c>
      <c r="C1059" s="7" t="n">
        <f aca="false">((1+B1059/100)^(1/12)-1)*100</f>
        <v>1.17149169198534</v>
      </c>
    </row>
    <row r="1060" customFormat="false" ht="15" hidden="false" customHeight="false" outlineLevel="0" collapsed="false">
      <c r="A1060" s="6" t="s">
        <v>731</v>
      </c>
      <c r="B1060" s="8" t="n">
        <v>15</v>
      </c>
      <c r="C1060" s="7" t="n">
        <f aca="false">((1+B1060/100)^(1/12)-1)*100</f>
        <v>1.17149169198534</v>
      </c>
    </row>
    <row r="1061" customFormat="false" ht="15" hidden="false" customHeight="false" outlineLevel="0" collapsed="false">
      <c r="A1061" s="6" t="s">
        <v>732</v>
      </c>
      <c r="B1061" s="8" t="n">
        <v>15</v>
      </c>
      <c r="C1061" s="7" t="n">
        <f aca="false">((1+B1061/100)^(1/12)-1)*100</f>
        <v>1.17149169198534</v>
      </c>
    </row>
    <row r="1062" customFormat="false" ht="15" hidden="false" customHeight="false" outlineLevel="0" collapsed="false">
      <c r="A1062" s="6" t="s">
        <v>1259</v>
      </c>
      <c r="B1062" s="8" t="n">
        <v>15</v>
      </c>
      <c r="C1062" s="7" t="n">
        <f aca="false">((1+B1062/100)^(1/12)-1)*100</f>
        <v>1.17149169198534</v>
      </c>
    </row>
    <row r="1063" customFormat="false" ht="15" hidden="false" customHeight="false" outlineLevel="0" collapsed="false">
      <c r="A1063" s="6" t="s">
        <v>733</v>
      </c>
      <c r="B1063" s="8" t="n">
        <v>15</v>
      </c>
      <c r="C1063" s="7" t="n">
        <f aca="false">((1+B1063/100)^(1/12)-1)*100</f>
        <v>1.17149169198534</v>
      </c>
    </row>
    <row r="1064" customFormat="false" ht="15" hidden="false" customHeight="false" outlineLevel="0" collapsed="false">
      <c r="A1064" s="6" t="s">
        <v>1260</v>
      </c>
      <c r="B1064" s="8" t="n">
        <v>15</v>
      </c>
      <c r="C1064" s="7" t="n">
        <f aca="false">((1+B1064/100)^(1/12)-1)*100</f>
        <v>1.17149169198534</v>
      </c>
    </row>
    <row r="1065" customFormat="false" ht="15" hidden="false" customHeight="false" outlineLevel="0" collapsed="false">
      <c r="A1065" s="6" t="s">
        <v>1261</v>
      </c>
      <c r="B1065" s="8" t="n">
        <v>15</v>
      </c>
      <c r="C1065" s="7" t="n">
        <f aca="false">((1+B1065/100)^(1/12)-1)*100</f>
        <v>1.17149169198534</v>
      </c>
    </row>
    <row r="1066" customFormat="false" ht="15" hidden="false" customHeight="false" outlineLevel="0" collapsed="false">
      <c r="A1066" s="6" t="s">
        <v>734</v>
      </c>
      <c r="B1066" s="8" t="n">
        <v>15</v>
      </c>
      <c r="C1066" s="7" t="n">
        <f aca="false">((1+B1066/100)^(1/12)-1)*100</f>
        <v>1.17149169198534</v>
      </c>
    </row>
    <row r="1067" customFormat="false" ht="15" hidden="false" customHeight="false" outlineLevel="0" collapsed="false">
      <c r="A1067" s="6" t="s">
        <v>735</v>
      </c>
      <c r="B1067" s="8" t="n">
        <v>15</v>
      </c>
      <c r="C1067" s="7" t="n">
        <f aca="false">((1+B1067/100)^(1/12)-1)*100</f>
        <v>1.17149169198534</v>
      </c>
    </row>
    <row r="1068" customFormat="false" ht="15" hidden="false" customHeight="false" outlineLevel="0" collapsed="false">
      <c r="A1068" s="6" t="s">
        <v>736</v>
      </c>
      <c r="B1068" s="8" t="n">
        <v>15</v>
      </c>
      <c r="C1068" s="7" t="n">
        <f aca="false">((1+B1068/100)^(1/12)-1)*100</f>
        <v>1.17149169198534</v>
      </c>
    </row>
    <row r="1069" customFormat="false" ht="15" hidden="false" customHeight="false" outlineLevel="0" collapsed="false">
      <c r="A1069" s="6" t="s">
        <v>737</v>
      </c>
      <c r="B1069" s="8" t="n">
        <v>15</v>
      </c>
      <c r="C1069" s="7" t="n">
        <f aca="false">((1+B1069/100)^(1/12)-1)*100</f>
        <v>1.17149169198534</v>
      </c>
    </row>
    <row r="1070" customFormat="false" ht="15" hidden="false" customHeight="false" outlineLevel="0" collapsed="false">
      <c r="A1070" s="6" t="s">
        <v>738</v>
      </c>
      <c r="B1070" s="8" t="n">
        <v>15</v>
      </c>
      <c r="C1070" s="7" t="n">
        <f aca="false">((1+B1070/100)^(1/12)-1)*100</f>
        <v>1.17149169198534</v>
      </c>
    </row>
    <row r="1071" customFormat="false" ht="15" hidden="false" customHeight="false" outlineLevel="0" collapsed="false">
      <c r="A1071" s="6" t="s">
        <v>1262</v>
      </c>
      <c r="B1071" s="8" t="n">
        <v>15</v>
      </c>
      <c r="C1071" s="7" t="n">
        <f aca="false">((1+B1071/100)^(1/12)-1)*100</f>
        <v>1.17149169198534</v>
      </c>
    </row>
    <row r="1072" customFormat="false" ht="15" hidden="false" customHeight="false" outlineLevel="0" collapsed="false">
      <c r="A1072" s="6" t="s">
        <v>1263</v>
      </c>
      <c r="B1072" s="8" t="n">
        <v>15</v>
      </c>
      <c r="C1072" s="7" t="n">
        <f aca="false">((1+B1072/100)^(1/12)-1)*100</f>
        <v>1.17149169198534</v>
      </c>
    </row>
    <row r="1073" customFormat="false" ht="15" hidden="false" customHeight="false" outlineLevel="0" collapsed="false">
      <c r="A1073" s="6" t="s">
        <v>739</v>
      </c>
      <c r="B1073" s="8" t="n">
        <v>15</v>
      </c>
      <c r="C1073" s="7" t="n">
        <f aca="false">((1+B1073/100)^(1/12)-1)*100</f>
        <v>1.17149169198534</v>
      </c>
    </row>
    <row r="1074" customFormat="false" ht="15" hidden="false" customHeight="false" outlineLevel="0" collapsed="false">
      <c r="A1074" s="6" t="s">
        <v>740</v>
      </c>
      <c r="B1074" s="8" t="n">
        <v>15</v>
      </c>
      <c r="C1074" s="7" t="n">
        <f aca="false">((1+B1074/100)^(1/12)-1)*100</f>
        <v>1.17149169198534</v>
      </c>
    </row>
    <row r="1075" customFormat="false" ht="15" hidden="false" customHeight="false" outlineLevel="0" collapsed="false">
      <c r="A1075" s="6" t="s">
        <v>741</v>
      </c>
      <c r="B1075" s="8" t="n">
        <v>15</v>
      </c>
      <c r="C1075" s="7" t="n">
        <f aca="false">((1+B1075/100)^(1/12)-1)*100</f>
        <v>1.17149169198534</v>
      </c>
    </row>
    <row r="1076" customFormat="false" ht="15" hidden="false" customHeight="false" outlineLevel="0" collapsed="false">
      <c r="A1076" s="6" t="s">
        <v>742</v>
      </c>
      <c r="B1076" s="8" t="n">
        <v>15</v>
      </c>
      <c r="C1076" s="7" t="n">
        <f aca="false">((1+B1076/100)^(1/12)-1)*100</f>
        <v>1.17149169198534</v>
      </c>
    </row>
    <row r="1077" customFormat="false" ht="15" hidden="false" customHeight="false" outlineLevel="0" collapsed="false">
      <c r="A1077" s="6" t="s">
        <v>743</v>
      </c>
      <c r="B1077" s="8" t="n">
        <v>15</v>
      </c>
      <c r="C1077" s="7" t="n">
        <f aca="false">((1+B1077/100)^(1/12)-1)*100</f>
        <v>1.17149169198534</v>
      </c>
    </row>
    <row r="1078" customFormat="false" ht="15" hidden="false" customHeight="false" outlineLevel="0" collapsed="false">
      <c r="A1078" s="6" t="s">
        <v>1264</v>
      </c>
      <c r="B1078" s="8" t="n">
        <v>15</v>
      </c>
      <c r="C1078" s="7" t="n">
        <f aca="false">((1+B1078/100)^(1/12)-1)*100</f>
        <v>1.17149169198534</v>
      </c>
    </row>
    <row r="1079" customFormat="false" ht="15" hidden="false" customHeight="false" outlineLevel="0" collapsed="false">
      <c r="A1079" s="6" t="s">
        <v>1265</v>
      </c>
      <c r="B1079" s="8" t="n">
        <v>15</v>
      </c>
      <c r="C1079" s="7" t="n">
        <f aca="false">((1+B1079/100)^(1/12)-1)*100</f>
        <v>1.17149169198534</v>
      </c>
    </row>
    <row r="1080" customFormat="false" ht="15" hidden="false" customHeight="false" outlineLevel="0" collapsed="false">
      <c r="A1080" s="6" t="s">
        <v>744</v>
      </c>
      <c r="B1080" s="8" t="n">
        <v>15</v>
      </c>
      <c r="C1080" s="7" t="n">
        <f aca="false">((1+B1080/100)^(1/12)-1)*100</f>
        <v>1.17149169198534</v>
      </c>
    </row>
    <row r="1081" customFormat="false" ht="15" hidden="false" customHeight="false" outlineLevel="0" collapsed="false">
      <c r="A1081" s="6" t="s">
        <v>745</v>
      </c>
      <c r="B1081" s="8" t="n">
        <v>15</v>
      </c>
      <c r="C1081" s="7" t="n">
        <f aca="false">((1+B1081/100)^(1/12)-1)*100</f>
        <v>1.17149169198534</v>
      </c>
    </row>
    <row r="1082" customFormat="false" ht="15" hidden="false" customHeight="false" outlineLevel="0" collapsed="false">
      <c r="A1082" s="6" t="s">
        <v>746</v>
      </c>
      <c r="B1082" s="8" t="n">
        <v>15</v>
      </c>
      <c r="C1082" s="7" t="n">
        <f aca="false">((1+B1082/100)^(1/12)-1)*100</f>
        <v>1.17149169198534</v>
      </c>
    </row>
    <row r="1083" customFormat="false" ht="15" hidden="false" customHeight="false" outlineLevel="0" collapsed="false">
      <c r="A1083" s="6" t="s">
        <v>747</v>
      </c>
      <c r="B1083" s="8" t="n">
        <v>15</v>
      </c>
      <c r="C1083" s="7" t="n">
        <f aca="false">((1+B1083/100)^(1/12)-1)*100</f>
        <v>1.17149169198534</v>
      </c>
    </row>
    <row r="1084" customFormat="false" ht="15" hidden="false" customHeight="false" outlineLevel="0" collapsed="false">
      <c r="A1084" s="6" t="s">
        <v>748</v>
      </c>
      <c r="B1084" s="8" t="n">
        <v>15</v>
      </c>
      <c r="C1084" s="7" t="n">
        <f aca="false">((1+B1084/100)^(1/12)-1)*100</f>
        <v>1.17149169198534</v>
      </c>
    </row>
    <row r="1085" customFormat="false" ht="15" hidden="false" customHeight="false" outlineLevel="0" collapsed="false">
      <c r="A1085" s="6" t="s">
        <v>1266</v>
      </c>
      <c r="B1085" s="8" t="n">
        <v>15</v>
      </c>
      <c r="C1085" s="7" t="n">
        <f aca="false">((1+B1085/100)^(1/12)-1)*100</f>
        <v>1.17149169198534</v>
      </c>
    </row>
    <row r="1086" customFormat="false" ht="15" hidden="false" customHeight="false" outlineLevel="0" collapsed="false">
      <c r="A1086" s="6" t="s">
        <v>1267</v>
      </c>
      <c r="B1086" s="8" t="n">
        <v>15</v>
      </c>
      <c r="C1086" s="7" t="n">
        <f aca="false">((1+B1086/100)^(1/12)-1)*100</f>
        <v>1.17149169198534</v>
      </c>
    </row>
    <row r="1087" customFormat="false" ht="15" hidden="false" customHeight="false" outlineLevel="0" collapsed="false">
      <c r="A1087" s="6" t="s">
        <v>749</v>
      </c>
      <c r="B1087" s="8" t="n">
        <v>15</v>
      </c>
      <c r="C1087" s="7" t="n">
        <f aca="false">((1+B1087/100)^(1/12)-1)*100</f>
        <v>1.17149169198534</v>
      </c>
    </row>
    <row r="1088" customFormat="false" ht="15" hidden="false" customHeight="false" outlineLevel="0" collapsed="false">
      <c r="A1088" s="6" t="s">
        <v>750</v>
      </c>
      <c r="B1088" s="8" t="n">
        <v>15</v>
      </c>
      <c r="C1088" s="7" t="n">
        <f aca="false">((1+B1088/100)^(1/12)-1)*100</f>
        <v>1.17149169198534</v>
      </c>
    </row>
    <row r="1089" customFormat="false" ht="15" hidden="false" customHeight="false" outlineLevel="0" collapsed="false">
      <c r="A1089" s="6" t="s">
        <v>751</v>
      </c>
      <c r="B1089" s="8" t="n">
        <v>15</v>
      </c>
      <c r="C1089" s="7" t="n">
        <f aca="false">((1+B1089/100)^(1/12)-1)*100</f>
        <v>1.17149169198534</v>
      </c>
    </row>
    <row r="1090" customFormat="false" ht="15" hidden="false" customHeight="false" outlineLevel="0" collapsed="false">
      <c r="A1090" s="6" t="s">
        <v>752</v>
      </c>
      <c r="B1090" s="8" t="n">
        <v>15</v>
      </c>
      <c r="C1090" s="7" t="n">
        <f aca="false">((1+B1090/100)^(1/12)-1)*100</f>
        <v>1.17149169198534</v>
      </c>
    </row>
    <row r="1091" customFormat="false" ht="15" hidden="false" customHeight="false" outlineLevel="0" collapsed="false">
      <c r="A1091" s="6" t="s">
        <v>753</v>
      </c>
      <c r="B1091" s="8" t="n">
        <v>15</v>
      </c>
      <c r="C1091" s="7" t="n">
        <f aca="false">((1+B1091/100)^(1/12)-1)*100</f>
        <v>1.17149169198534</v>
      </c>
    </row>
    <row r="1092" customFormat="false" ht="15" hidden="false" customHeight="false" outlineLevel="0" collapsed="false">
      <c r="A1092" s="6" t="s">
        <v>1268</v>
      </c>
      <c r="B1092" s="8" t="n">
        <v>15</v>
      </c>
      <c r="C1092" s="7" t="n">
        <f aca="false">((1+B1092/100)^(1/12)-1)*100</f>
        <v>1.17149169198534</v>
      </c>
    </row>
    <row r="1093" customFormat="false" ht="15" hidden="false" customHeight="false" outlineLevel="0" collapsed="false">
      <c r="A1093" s="6" t="s">
        <v>1269</v>
      </c>
      <c r="B1093" s="8" t="n">
        <v>15</v>
      </c>
      <c r="C1093" s="7" t="n">
        <f aca="false">((1+B1093/100)^(1/12)-1)*100</f>
        <v>1.17149169198534</v>
      </c>
    </row>
    <row r="1094" customFormat="false" ht="15" hidden="false" customHeight="false" outlineLevel="0" collapsed="false">
      <c r="A1094" s="6" t="s">
        <v>754</v>
      </c>
      <c r="B1094" s="8" t="n">
        <v>15</v>
      </c>
      <c r="C1094" s="7" t="n">
        <f aca="false">((1+B1094/100)^(1/12)-1)*100</f>
        <v>1.17149169198534</v>
      </c>
    </row>
    <row r="1095" customFormat="false" ht="15" hidden="false" customHeight="false" outlineLevel="0" collapsed="false">
      <c r="A1095" s="6" t="s">
        <v>755</v>
      </c>
      <c r="B1095" s="8" t="n">
        <v>15</v>
      </c>
      <c r="C1095" s="7" t="n">
        <f aca="false">((1+B1095/100)^(1/12)-1)*100</f>
        <v>1.17149169198534</v>
      </c>
    </row>
    <row r="1096" customFormat="false" ht="15" hidden="false" customHeight="false" outlineLevel="0" collapsed="false">
      <c r="A1096" s="6" t="s">
        <v>756</v>
      </c>
      <c r="B1096" s="8" t="n">
        <v>15</v>
      </c>
      <c r="C1096" s="7" t="n">
        <f aca="false">((1+B1096/100)^(1/12)-1)*100</f>
        <v>1.17149169198534</v>
      </c>
    </row>
    <row r="1097" customFormat="false" ht="15" hidden="false" customHeight="false" outlineLevel="0" collapsed="false">
      <c r="A1097" s="6" t="s">
        <v>1270</v>
      </c>
      <c r="B1097" s="8" t="n">
        <v>15</v>
      </c>
      <c r="C1097" s="7" t="n">
        <f aca="false">((1+B1097/100)^(1/12)-1)*100</f>
        <v>1.17149169198534</v>
      </c>
    </row>
    <row r="1098" customFormat="false" ht="15" hidden="false" customHeight="false" outlineLevel="0" collapsed="false">
      <c r="A1098" s="6" t="s">
        <v>757</v>
      </c>
      <c r="B1098" s="8" t="n">
        <v>15</v>
      </c>
      <c r="C1098" s="7" t="n">
        <f aca="false">((1+B1098/100)^(1/12)-1)*100</f>
        <v>1.17149169198534</v>
      </c>
    </row>
    <row r="1099" customFormat="false" ht="15" hidden="false" customHeight="false" outlineLevel="0" collapsed="false">
      <c r="A1099" s="6" t="s">
        <v>1271</v>
      </c>
      <c r="B1099" s="8" t="n">
        <v>15</v>
      </c>
      <c r="C1099" s="7" t="n">
        <f aca="false">((1+B1099/100)^(1/12)-1)*100</f>
        <v>1.17149169198534</v>
      </c>
    </row>
    <row r="1100" customFormat="false" ht="15" hidden="false" customHeight="false" outlineLevel="0" collapsed="false">
      <c r="A1100" s="6" t="s">
        <v>1272</v>
      </c>
      <c r="B1100" s="8" t="n">
        <v>15</v>
      </c>
      <c r="C1100" s="7" t="n">
        <f aca="false">((1+B1100/100)^(1/12)-1)*100</f>
        <v>1.17149169198534</v>
      </c>
    </row>
    <row r="1101" customFormat="false" ht="15" hidden="false" customHeight="false" outlineLevel="0" collapsed="false">
      <c r="A1101" s="6" t="s">
        <v>758</v>
      </c>
      <c r="B1101" s="8" t="n">
        <v>15</v>
      </c>
      <c r="C1101" s="7" t="n">
        <f aca="false">((1+B1101/100)^(1/12)-1)*100</f>
        <v>1.17149169198534</v>
      </c>
    </row>
    <row r="1102" customFormat="false" ht="15" hidden="false" customHeight="false" outlineLevel="0" collapsed="false">
      <c r="A1102" s="6" t="s">
        <v>759</v>
      </c>
      <c r="B1102" s="8" t="n">
        <v>15</v>
      </c>
      <c r="C1102" s="7" t="n">
        <f aca="false">((1+B1102/100)^(1/12)-1)*100</f>
        <v>1.17149169198534</v>
      </c>
    </row>
    <row r="1103" customFormat="false" ht="15" hidden="false" customHeight="false" outlineLevel="0" collapsed="false">
      <c r="A1103" s="6" t="s">
        <v>760</v>
      </c>
      <c r="B1103" s="8" t="n">
        <v>15</v>
      </c>
      <c r="C1103" s="7" t="n">
        <f aca="false">((1+B1103/100)^(1/12)-1)*100</f>
        <v>1.17149169198534</v>
      </c>
    </row>
    <row r="1104" customFormat="false" ht="15" hidden="false" customHeight="false" outlineLevel="0" collapsed="false">
      <c r="A1104" s="6" t="s">
        <v>1273</v>
      </c>
      <c r="B1104" s="8" t="n">
        <v>15</v>
      </c>
      <c r="C1104" s="7" t="n">
        <f aca="false">((1+B1104/100)^(1/12)-1)*100</f>
        <v>1.17149169198534</v>
      </c>
    </row>
    <row r="1105" customFormat="false" ht="15" hidden="false" customHeight="false" outlineLevel="0" collapsed="false">
      <c r="A1105" s="6" t="s">
        <v>761</v>
      </c>
      <c r="B1105" s="8" t="n">
        <v>15</v>
      </c>
      <c r="C1105" s="7" t="n">
        <f aca="false">((1+B1105/100)^(1/12)-1)*100</f>
        <v>1.17149169198534</v>
      </c>
    </row>
    <row r="1106" customFormat="false" ht="15" hidden="false" customHeight="false" outlineLevel="0" collapsed="false">
      <c r="A1106" s="6" t="s">
        <v>1274</v>
      </c>
      <c r="B1106" s="8" t="n">
        <v>15</v>
      </c>
      <c r="C1106" s="7" t="n">
        <f aca="false">((1+B1106/100)^(1/12)-1)*100</f>
        <v>1.17149169198534</v>
      </c>
    </row>
    <row r="1107" customFormat="false" ht="15" hidden="false" customHeight="false" outlineLevel="0" collapsed="false">
      <c r="A1107" s="6" t="s">
        <v>1275</v>
      </c>
      <c r="B1107" s="8" t="n">
        <v>15</v>
      </c>
      <c r="C1107" s="7" t="n">
        <f aca="false">((1+B1107/100)^(1/12)-1)*100</f>
        <v>1.17149169198534</v>
      </c>
    </row>
    <row r="1108" customFormat="false" ht="15" hidden="false" customHeight="false" outlineLevel="0" collapsed="false">
      <c r="A1108" s="6" t="s">
        <v>762</v>
      </c>
      <c r="B1108" s="8" t="n">
        <v>15</v>
      </c>
      <c r="C1108" s="7" t="n">
        <f aca="false">((1+B1108/100)^(1/12)-1)*100</f>
        <v>1.17149169198534</v>
      </c>
    </row>
    <row r="1109" customFormat="false" ht="15" hidden="false" customHeight="false" outlineLevel="0" collapsed="false">
      <c r="A1109" s="6" t="s">
        <v>763</v>
      </c>
      <c r="B1109" s="8" t="n">
        <v>15</v>
      </c>
      <c r="C1109" s="7" t="n">
        <f aca="false">((1+B1109/100)^(1/12)-1)*100</f>
        <v>1.17149169198534</v>
      </c>
    </row>
    <row r="1110" customFormat="false" ht="15" hidden="false" customHeight="false" outlineLevel="0" collapsed="false">
      <c r="A1110" s="6" t="s">
        <v>764</v>
      </c>
      <c r="B1110" s="8" t="n">
        <v>15</v>
      </c>
      <c r="C1110" s="7" t="n">
        <f aca="false">((1+B1110/100)^(1/12)-1)*100</f>
        <v>1.17149169198534</v>
      </c>
    </row>
    <row r="1111" customFormat="false" ht="15" hidden="false" customHeight="false" outlineLevel="0" collapsed="false">
      <c r="A1111" s="6" t="s">
        <v>765</v>
      </c>
      <c r="B1111" s="8" t="n">
        <v>15</v>
      </c>
      <c r="C1111" s="7" t="n">
        <f aca="false">((1+B1111/100)^(1/12)-1)*100</f>
        <v>1.17149169198534</v>
      </c>
    </row>
    <row r="1112" customFormat="false" ht="15" hidden="false" customHeight="false" outlineLevel="0" collapsed="false">
      <c r="A1112" s="6" t="s">
        <v>766</v>
      </c>
      <c r="B1112" s="8" t="n">
        <v>15</v>
      </c>
      <c r="C1112" s="7" t="n">
        <f aca="false">((1+B1112/100)^(1/12)-1)*100</f>
        <v>1.17149169198534</v>
      </c>
    </row>
    <row r="1113" customFormat="false" ht="15" hidden="false" customHeight="false" outlineLevel="0" collapsed="false">
      <c r="A1113" s="6" t="s">
        <v>1276</v>
      </c>
      <c r="B1113" s="8" t="n">
        <v>15</v>
      </c>
      <c r="C1113" s="7" t="n">
        <f aca="false">((1+B1113/100)^(1/12)-1)*100</f>
        <v>1.17149169198534</v>
      </c>
    </row>
    <row r="1114" customFormat="false" ht="15" hidden="false" customHeight="false" outlineLevel="0" collapsed="false">
      <c r="A1114" s="6" t="s">
        <v>1277</v>
      </c>
      <c r="B1114" s="8" t="n">
        <v>15</v>
      </c>
      <c r="C1114" s="7" t="n">
        <f aca="false">((1+B1114/100)^(1/12)-1)*100</f>
        <v>1.17149169198534</v>
      </c>
    </row>
    <row r="1115" customFormat="false" ht="15" hidden="false" customHeight="false" outlineLevel="0" collapsed="false">
      <c r="A1115" s="6" t="s">
        <v>767</v>
      </c>
      <c r="B1115" s="8" t="n">
        <v>15</v>
      </c>
      <c r="C1115" s="7" t="n">
        <f aca="false">((1+B1115/100)^(1/12)-1)*100</f>
        <v>1.17149169198534</v>
      </c>
    </row>
    <row r="1116" customFormat="false" ht="15" hidden="false" customHeight="false" outlineLevel="0" collapsed="false">
      <c r="A1116" s="6" t="s">
        <v>768</v>
      </c>
      <c r="B1116" s="8" t="n">
        <v>15</v>
      </c>
      <c r="C1116" s="7" t="n">
        <f aca="false">((1+B1116/100)^(1/12)-1)*100</f>
        <v>1.17149169198534</v>
      </c>
    </row>
    <row r="1117" customFormat="false" ht="15" hidden="false" customHeight="false" outlineLevel="0" collapsed="false">
      <c r="A1117" s="6" t="s">
        <v>769</v>
      </c>
      <c r="B1117" s="8" t="n">
        <v>15</v>
      </c>
      <c r="C1117" s="7" t="n">
        <f aca="false">((1+B1117/100)^(1/12)-1)*100</f>
        <v>1.17149169198534</v>
      </c>
    </row>
    <row r="1118" customFormat="false" ht="15" hidden="false" customHeight="false" outlineLevel="0" collapsed="false">
      <c r="A1118" s="6" t="s">
        <v>770</v>
      </c>
      <c r="B1118" s="8" t="n">
        <v>15</v>
      </c>
      <c r="C1118" s="7" t="n">
        <f aca="false">((1+B1118/100)^(1/12)-1)*100</f>
        <v>1.17149169198534</v>
      </c>
    </row>
    <row r="1119" customFormat="false" ht="15" hidden="false" customHeight="false" outlineLevel="0" collapsed="false">
      <c r="A1119" s="6" t="s">
        <v>771</v>
      </c>
      <c r="B1119" s="8" t="n">
        <v>15</v>
      </c>
      <c r="C1119" s="7" t="n">
        <f aca="false">((1+B1119/100)^(1/12)-1)*100</f>
        <v>1.17149169198534</v>
      </c>
    </row>
    <row r="1120" customFormat="false" ht="15" hidden="false" customHeight="false" outlineLevel="0" collapsed="false">
      <c r="A1120" s="6" t="s">
        <v>1278</v>
      </c>
      <c r="B1120" s="8" t="n">
        <v>15</v>
      </c>
      <c r="C1120" s="7" t="n">
        <f aca="false">((1+B1120/100)^(1/12)-1)*100</f>
        <v>1.17149169198534</v>
      </c>
    </row>
    <row r="1121" customFormat="false" ht="15" hidden="false" customHeight="false" outlineLevel="0" collapsed="false">
      <c r="A1121" s="6" t="s">
        <v>1279</v>
      </c>
      <c r="B1121" s="8" t="n">
        <v>15</v>
      </c>
      <c r="C1121" s="7" t="n">
        <f aca="false">((1+B1121/100)^(1/12)-1)*100</f>
        <v>1.17149169198534</v>
      </c>
    </row>
    <row r="1122" customFormat="false" ht="15" hidden="false" customHeight="false" outlineLevel="0" collapsed="false">
      <c r="A1122" s="6" t="s">
        <v>772</v>
      </c>
      <c r="B1122" s="8" t="n">
        <v>15</v>
      </c>
      <c r="C1122" s="7" t="n">
        <f aca="false">((1+B1122/100)^(1/12)-1)*100</f>
        <v>1.17149169198534</v>
      </c>
    </row>
    <row r="1123" customFormat="false" ht="15" hidden="false" customHeight="false" outlineLevel="0" collapsed="false">
      <c r="A1123" s="6" t="s">
        <v>773</v>
      </c>
      <c r="B1123" s="8" t="n">
        <v>15</v>
      </c>
      <c r="C1123" s="7" t="n">
        <f aca="false">((1+B1123/100)^(1/12)-1)*100</f>
        <v>1.17149169198534</v>
      </c>
    </row>
    <row r="1124" customFormat="false" ht="15" hidden="false" customHeight="false" outlineLevel="0" collapsed="false">
      <c r="A1124" s="6" t="s">
        <v>774</v>
      </c>
      <c r="B1124" s="8" t="n">
        <v>15</v>
      </c>
      <c r="C1124" s="7" t="n">
        <f aca="false">((1+B1124/100)^(1/12)-1)*100</f>
        <v>1.17149169198534</v>
      </c>
    </row>
    <row r="1125" customFormat="false" ht="15" hidden="false" customHeight="false" outlineLevel="0" collapsed="false">
      <c r="A1125" s="6" t="s">
        <v>775</v>
      </c>
      <c r="B1125" s="8" t="n">
        <v>15</v>
      </c>
      <c r="C1125" s="7" t="n">
        <f aca="false">((1+B1125/100)^(1/12)-1)*100</f>
        <v>1.17149169198534</v>
      </c>
    </row>
    <row r="1126" customFormat="false" ht="15" hidden="false" customHeight="false" outlineLevel="0" collapsed="false">
      <c r="A1126" s="6" t="s">
        <v>776</v>
      </c>
      <c r="B1126" s="8" t="n">
        <v>15</v>
      </c>
      <c r="C1126" s="7" t="n">
        <f aca="false">((1+B1126/100)^(1/12)-1)*100</f>
        <v>1.17149169198534</v>
      </c>
    </row>
    <row r="1127" customFormat="false" ht="15" hidden="false" customHeight="false" outlineLevel="0" collapsed="false">
      <c r="A1127" s="6" t="s">
        <v>1280</v>
      </c>
      <c r="B1127" s="8" t="n">
        <v>15</v>
      </c>
      <c r="C1127" s="7" t="n">
        <f aca="false">((1+B1127/100)^(1/12)-1)*100</f>
        <v>1.17149169198534</v>
      </c>
    </row>
    <row r="1128" customFormat="false" ht="15" hidden="false" customHeight="false" outlineLevel="0" collapsed="false">
      <c r="A1128" s="6" t="s">
        <v>1281</v>
      </c>
      <c r="B1128" s="8" t="n">
        <v>15</v>
      </c>
      <c r="C1128" s="7" t="n">
        <f aca="false">((1+B1128/100)^(1/12)-1)*100</f>
        <v>1.17149169198534</v>
      </c>
    </row>
    <row r="1129" customFormat="false" ht="15" hidden="false" customHeight="false" outlineLevel="0" collapsed="false">
      <c r="A1129" s="6" t="s">
        <v>777</v>
      </c>
      <c r="B1129" s="8" t="n">
        <v>15</v>
      </c>
      <c r="C1129" s="7" t="n">
        <f aca="false">((1+B1129/100)^(1/12)-1)*100</f>
        <v>1.17149169198534</v>
      </c>
    </row>
    <row r="1130" customFormat="false" ht="15" hidden="false" customHeight="false" outlineLevel="0" collapsed="false">
      <c r="A1130" s="6" t="s">
        <v>778</v>
      </c>
      <c r="B1130" s="8" t="n">
        <v>15</v>
      </c>
      <c r="C1130" s="7" t="n">
        <f aca="false">((1+B1130/100)^(1/12)-1)*100</f>
        <v>1.17149169198534</v>
      </c>
    </row>
    <row r="1131" customFormat="false" ht="15" hidden="false" customHeight="false" outlineLevel="0" collapsed="false">
      <c r="A1131" s="6" t="s">
        <v>779</v>
      </c>
      <c r="B1131" s="8" t="n">
        <v>15</v>
      </c>
      <c r="C1131" s="7" t="n">
        <f aca="false">((1+B1131/100)^(1/12)-1)*100</f>
        <v>1.17149169198534</v>
      </c>
    </row>
    <row r="1132" customFormat="false" ht="15" hidden="false" customHeight="false" outlineLevel="0" collapsed="false">
      <c r="A1132" s="6" t="s">
        <v>780</v>
      </c>
      <c r="B1132" s="8" t="n">
        <v>15</v>
      </c>
      <c r="C1132" s="7" t="n">
        <f aca="false">((1+B1132/100)^(1/12)-1)*100</f>
        <v>1.17149169198534</v>
      </c>
    </row>
    <row r="1133" customFormat="false" ht="15" hidden="false" customHeight="false" outlineLevel="0" collapsed="false">
      <c r="A1133" s="6" t="s">
        <v>781</v>
      </c>
      <c r="B1133" s="8" t="n">
        <v>15</v>
      </c>
      <c r="C1133" s="7" t="n">
        <f aca="false">((1+B1133/100)^(1/12)-1)*100</f>
        <v>1.17149169198534</v>
      </c>
    </row>
    <row r="1134" customFormat="false" ht="15" hidden="false" customHeight="false" outlineLevel="0" collapsed="false">
      <c r="A1134" s="6" t="s">
        <v>1282</v>
      </c>
      <c r="B1134" s="8" t="n">
        <v>15</v>
      </c>
      <c r="C1134" s="7" t="n">
        <f aca="false">((1+B1134/100)^(1/12)-1)*100</f>
        <v>1.17149169198534</v>
      </c>
    </row>
    <row r="1135" customFormat="false" ht="15" hidden="false" customHeight="false" outlineLevel="0" collapsed="false">
      <c r="A1135" s="6" t="s">
        <v>1283</v>
      </c>
      <c r="B1135" s="8" t="n">
        <v>15</v>
      </c>
      <c r="C1135" s="7" t="n">
        <f aca="false">((1+B1135/100)^(1/12)-1)*100</f>
        <v>1.17149169198534</v>
      </c>
    </row>
    <row r="1136" customFormat="false" ht="15" hidden="false" customHeight="false" outlineLevel="0" collapsed="false">
      <c r="A1136" s="6" t="s">
        <v>782</v>
      </c>
      <c r="B1136" s="8" t="n">
        <v>15</v>
      </c>
      <c r="C1136" s="7" t="n">
        <f aca="false">((1+B1136/100)^(1/12)-1)*100</f>
        <v>1.17149169198534</v>
      </c>
    </row>
    <row r="1137" customFormat="false" ht="15" hidden="false" customHeight="false" outlineLevel="0" collapsed="false">
      <c r="A1137" s="6" t="s">
        <v>783</v>
      </c>
      <c r="B1137" s="8" t="n">
        <v>15</v>
      </c>
      <c r="C1137" s="7" t="n">
        <f aca="false">((1+B1137/100)^(1/12)-1)*100</f>
        <v>1.17149169198534</v>
      </c>
    </row>
    <row r="1138" customFormat="false" ht="15" hidden="false" customHeight="false" outlineLevel="0" collapsed="false">
      <c r="A1138" s="6" t="s">
        <v>784</v>
      </c>
      <c r="B1138" s="8" t="n">
        <v>15</v>
      </c>
      <c r="C1138" s="7" t="n">
        <f aca="false">((1+B1138/100)^(1/12)-1)*100</f>
        <v>1.17149169198534</v>
      </c>
    </row>
    <row r="1139" customFormat="false" ht="15" hidden="false" customHeight="false" outlineLevel="0" collapsed="false">
      <c r="A1139" s="6" t="s">
        <v>785</v>
      </c>
      <c r="B1139" s="8" t="n">
        <v>15</v>
      </c>
      <c r="C1139" s="7" t="n">
        <f aca="false">((1+B1139/100)^(1/12)-1)*100</f>
        <v>1.17149169198534</v>
      </c>
    </row>
    <row r="1140" customFormat="false" ht="15" hidden="false" customHeight="false" outlineLevel="0" collapsed="false">
      <c r="A1140" s="6" t="s">
        <v>786</v>
      </c>
      <c r="B1140" s="8" t="n">
        <v>15</v>
      </c>
      <c r="C1140" s="7" t="n">
        <f aca="false">((1+B1140/100)^(1/12)-1)*100</f>
        <v>1.17149169198534</v>
      </c>
    </row>
    <row r="1141" customFormat="false" ht="15" hidden="false" customHeight="false" outlineLevel="0" collapsed="false">
      <c r="A1141" s="6" t="s">
        <v>1284</v>
      </c>
      <c r="B1141" s="8" t="n">
        <v>15</v>
      </c>
      <c r="C1141" s="7" t="n">
        <f aca="false">((1+B1141/100)^(1/12)-1)*100</f>
        <v>1.17149169198534</v>
      </c>
    </row>
    <row r="1142" customFormat="false" ht="15" hidden="false" customHeight="false" outlineLevel="0" collapsed="false">
      <c r="A1142" s="6" t="s">
        <v>1285</v>
      </c>
      <c r="B1142" s="8" t="n">
        <v>15</v>
      </c>
      <c r="C1142" s="7" t="n">
        <f aca="false">((1+B1142/100)^(1/12)-1)*100</f>
        <v>1.17149169198534</v>
      </c>
    </row>
    <row r="1143" customFormat="false" ht="15" hidden="false" customHeight="false" outlineLevel="0" collapsed="false">
      <c r="A1143" s="6" t="s">
        <v>787</v>
      </c>
      <c r="B1143" s="8" t="n">
        <v>15</v>
      </c>
      <c r="C1143" s="7" t="n">
        <f aca="false">((1+B1143/100)^(1/12)-1)*100</f>
        <v>1.17149169198534</v>
      </c>
    </row>
    <row r="1144" customFormat="false" ht="15" hidden="false" customHeight="false" outlineLevel="0" collapsed="false">
      <c r="A1144" s="6" t="s">
        <v>788</v>
      </c>
      <c r="B1144" s="8" t="n">
        <v>15</v>
      </c>
      <c r="C1144" s="7" t="n">
        <f aca="false">((1+B1144/100)^(1/12)-1)*100</f>
        <v>1.17149169198534</v>
      </c>
    </row>
    <row r="1145" customFormat="false" ht="15" hidden="false" customHeight="false" outlineLevel="0" collapsed="false">
      <c r="A1145" s="6" t="s">
        <v>789</v>
      </c>
      <c r="B1145" s="8" t="n">
        <v>15</v>
      </c>
      <c r="C1145" s="7" t="n">
        <f aca="false">((1+B1145/100)^(1/12)-1)*100</f>
        <v>1.17149169198534</v>
      </c>
    </row>
    <row r="1146" customFormat="false" ht="15" hidden="false" customHeight="false" outlineLevel="0" collapsed="false">
      <c r="A1146" s="6" t="s">
        <v>790</v>
      </c>
      <c r="B1146" s="8" t="n">
        <v>15</v>
      </c>
      <c r="C1146" s="7" t="n">
        <f aca="false">((1+B1146/100)^(1/12)-1)*100</f>
        <v>1.17149169198534</v>
      </c>
    </row>
    <row r="1147" customFormat="false" ht="15" hidden="false" customHeight="false" outlineLevel="0" collapsed="false">
      <c r="A1147" s="6" t="s">
        <v>791</v>
      </c>
      <c r="B1147" s="8" t="n">
        <v>15</v>
      </c>
      <c r="C1147" s="7" t="n">
        <f aca="false">((1+B1147/100)^(1/12)-1)*100</f>
        <v>1.17149169198534</v>
      </c>
    </row>
    <row r="1148" customFormat="false" ht="15" hidden="false" customHeight="false" outlineLevel="0" collapsed="false">
      <c r="A1148" s="6" t="s">
        <v>1286</v>
      </c>
      <c r="B1148" s="8" t="n">
        <v>15</v>
      </c>
      <c r="C1148" s="7" t="n">
        <f aca="false">((1+B1148/100)^(1/12)-1)*100</f>
        <v>1.17149169198534</v>
      </c>
    </row>
    <row r="1149" customFormat="false" ht="15" hidden="false" customHeight="false" outlineLevel="0" collapsed="false">
      <c r="A1149" s="6" t="s">
        <v>1287</v>
      </c>
      <c r="B1149" s="8" t="n">
        <v>15</v>
      </c>
      <c r="C1149" s="7" t="n">
        <f aca="false">((1+B1149/100)^(1/12)-1)*100</f>
        <v>1.17149169198534</v>
      </c>
    </row>
    <row r="1150" customFormat="false" ht="15" hidden="false" customHeight="false" outlineLevel="0" collapsed="false">
      <c r="A1150" s="6" t="s">
        <v>1288</v>
      </c>
      <c r="B1150" s="8" t="n">
        <v>15</v>
      </c>
      <c r="C1150" s="7" t="n">
        <f aca="false">((1+B1150/100)^(1/12)-1)*100</f>
        <v>1.17149169198534</v>
      </c>
    </row>
    <row r="1151" customFormat="false" ht="15" hidden="false" customHeight="false" outlineLevel="0" collapsed="false">
      <c r="A1151" s="6" t="s">
        <v>1289</v>
      </c>
      <c r="B1151" s="8" t="n">
        <v>15</v>
      </c>
      <c r="C1151" s="7" t="n">
        <f aca="false">((1+B1151/100)^(1/12)-1)*100</f>
        <v>1.17149169198534</v>
      </c>
    </row>
    <row r="1152" customFormat="false" ht="15" hidden="false" customHeight="false" outlineLevel="0" collapsed="false">
      <c r="A1152" s="6" t="s">
        <v>792</v>
      </c>
      <c r="B1152" s="8" t="n">
        <v>15</v>
      </c>
      <c r="C1152" s="7" t="n">
        <f aca="false">((1+B1152/100)^(1/12)-1)*100</f>
        <v>1.17149169198534</v>
      </c>
    </row>
    <row r="1153" customFormat="false" ht="15" hidden="false" customHeight="false" outlineLevel="0" collapsed="false">
      <c r="A1153" s="6" t="s">
        <v>793</v>
      </c>
      <c r="B1153" s="8" t="n">
        <v>15</v>
      </c>
      <c r="C1153" s="7" t="n">
        <f aca="false">((1+B1153/100)^(1/12)-1)*100</f>
        <v>1.17149169198534</v>
      </c>
    </row>
    <row r="1154" customFormat="false" ht="15" hidden="false" customHeight="false" outlineLevel="0" collapsed="false">
      <c r="A1154" s="6" t="s">
        <v>794</v>
      </c>
      <c r="B1154" s="8" t="n">
        <v>15</v>
      </c>
      <c r="C1154" s="7" t="n">
        <f aca="false">((1+B1154/100)^(1/12)-1)*100</f>
        <v>1.17149169198534</v>
      </c>
    </row>
    <row r="1155" customFormat="false" ht="15" hidden="false" customHeight="false" outlineLevel="0" collapsed="false">
      <c r="A1155" s="6" t="s">
        <v>1290</v>
      </c>
      <c r="B1155" s="8" t="n">
        <v>15</v>
      </c>
      <c r="C1155" s="7" t="n">
        <f aca="false">((1+B1155/100)^(1/12)-1)*100</f>
        <v>1.17149169198534</v>
      </c>
    </row>
    <row r="1156" customFormat="false" ht="15" hidden="false" customHeight="false" outlineLevel="0" collapsed="false">
      <c r="A1156" s="6" t="s">
        <v>1291</v>
      </c>
      <c r="B1156" s="8" t="n">
        <v>15</v>
      </c>
      <c r="C1156" s="7" t="n">
        <f aca="false">((1+B1156/100)^(1/12)-1)*100</f>
        <v>1.17149169198534</v>
      </c>
    </row>
    <row r="1157" customFormat="false" ht="15" hidden="false" customHeight="false" outlineLevel="0" collapsed="false">
      <c r="A1157" s="6" t="s">
        <v>795</v>
      </c>
      <c r="B1157" s="8" t="n">
        <v>15</v>
      </c>
      <c r="C1157" s="7" t="n">
        <f aca="false">((1+B1157/100)^(1/12)-1)*100</f>
        <v>1.17149169198534</v>
      </c>
    </row>
    <row r="1158" customFormat="false" ht="15" hidden="false" customHeight="false" outlineLevel="0" collapsed="false">
      <c r="A1158" s="6" t="s">
        <v>796</v>
      </c>
      <c r="B1158" s="8" t="n">
        <v>15</v>
      </c>
      <c r="C1158" s="7" t="n">
        <f aca="false">((1+B1158/100)^(1/12)-1)*100</f>
        <v>1.17149169198534</v>
      </c>
    </row>
    <row r="1159" customFormat="false" ht="15" hidden="false" customHeight="false" outlineLevel="0" collapsed="false">
      <c r="A1159" s="6" t="s">
        <v>797</v>
      </c>
      <c r="B1159" s="8" t="n">
        <v>15</v>
      </c>
      <c r="C1159" s="7" t="n">
        <f aca="false">((1+B1159/100)^(1/12)-1)*100</f>
        <v>1.17149169198534</v>
      </c>
    </row>
    <row r="1160" customFormat="false" ht="15" hidden="false" customHeight="false" outlineLevel="0" collapsed="false">
      <c r="A1160" s="6" t="s">
        <v>798</v>
      </c>
      <c r="B1160" s="8" t="n">
        <v>15</v>
      </c>
      <c r="C1160" s="7" t="n">
        <f aca="false">((1+B1160/100)^(1/12)-1)*100</f>
        <v>1.17149169198534</v>
      </c>
    </row>
    <row r="1161" customFormat="false" ht="15" hidden="false" customHeight="false" outlineLevel="0" collapsed="false">
      <c r="A1161" s="6" t="s">
        <v>799</v>
      </c>
      <c r="B1161" s="8" t="n">
        <v>15</v>
      </c>
      <c r="C1161" s="7" t="n">
        <f aca="false">((1+B1161/100)^(1/12)-1)*100</f>
        <v>1.17149169198534</v>
      </c>
    </row>
    <row r="1162" customFormat="false" ht="15" hidden="false" customHeight="false" outlineLevel="0" collapsed="false">
      <c r="A1162" s="6" t="s">
        <v>1292</v>
      </c>
      <c r="B1162" s="8" t="n">
        <v>15</v>
      </c>
      <c r="C1162" s="7" t="n">
        <f aca="false">((1+B1162/100)^(1/12)-1)*100</f>
        <v>1.17149169198534</v>
      </c>
    </row>
    <row r="1163" customFormat="false" ht="15" hidden="false" customHeight="false" outlineLevel="0" collapsed="false">
      <c r="A1163" s="6" t="s">
        <v>1293</v>
      </c>
      <c r="B1163" s="8" t="n">
        <v>15</v>
      </c>
      <c r="C1163" s="7" t="n">
        <f aca="false">((1+B1163/100)^(1/12)-1)*100</f>
        <v>1.17149169198534</v>
      </c>
    </row>
    <row r="1164" customFormat="false" ht="15" hidden="false" customHeight="false" outlineLevel="0" collapsed="false">
      <c r="A1164" s="6" t="s">
        <v>800</v>
      </c>
      <c r="B1164" s="8" t="n">
        <v>15</v>
      </c>
      <c r="C1164" s="7" t="n">
        <f aca="false">((1+B1164/100)^(1/12)-1)*100</f>
        <v>1.17149169198534</v>
      </c>
    </row>
    <row r="1165" customFormat="false" ht="15" hidden="false" customHeight="false" outlineLevel="0" collapsed="false">
      <c r="A1165" s="6" t="s">
        <v>801</v>
      </c>
      <c r="B1165" s="8" t="n">
        <v>15</v>
      </c>
      <c r="C1165" s="7" t="n">
        <f aca="false">((1+B1165/100)^(1/12)-1)*100</f>
        <v>1.17149169198534</v>
      </c>
    </row>
    <row r="1166" customFormat="false" ht="15" hidden="false" customHeight="false" outlineLevel="0" collapsed="false">
      <c r="A1166" s="6" t="s">
        <v>802</v>
      </c>
      <c r="B1166" s="8" t="n">
        <v>15</v>
      </c>
      <c r="C1166" s="7" t="n">
        <f aca="false">((1+B1166/100)^(1/12)-1)*100</f>
        <v>1.17149169198534</v>
      </c>
    </row>
    <row r="1167" customFormat="false" ht="15" hidden="false" customHeight="false" outlineLevel="0" collapsed="false">
      <c r="A1167" s="6" t="s">
        <v>803</v>
      </c>
      <c r="B1167" s="8" t="n">
        <v>15</v>
      </c>
      <c r="C1167" s="7" t="n">
        <f aca="false">((1+B1167/100)^(1/12)-1)*100</f>
        <v>1.17149169198534</v>
      </c>
    </row>
    <row r="1168" customFormat="false" ht="15" hidden="false" customHeight="false" outlineLevel="0" collapsed="false">
      <c r="A1168" s="6" t="s">
        <v>804</v>
      </c>
      <c r="B1168" s="8" t="n">
        <v>15</v>
      </c>
      <c r="C1168" s="7" t="n">
        <f aca="false">((1+B1168/100)^(1/12)-1)*100</f>
        <v>1.17149169198534</v>
      </c>
    </row>
    <row r="1169" customFormat="false" ht="15" hidden="false" customHeight="false" outlineLevel="0" collapsed="false">
      <c r="A1169" s="6" t="s">
        <v>1294</v>
      </c>
      <c r="B1169" s="8" t="n">
        <v>15</v>
      </c>
      <c r="C1169" s="7" t="n">
        <f aca="false">((1+B1169/100)^(1/12)-1)*100</f>
        <v>1.17149169198534</v>
      </c>
    </row>
    <row r="1170" customFormat="false" ht="15" hidden="false" customHeight="false" outlineLevel="0" collapsed="false">
      <c r="A1170" s="6" t="s">
        <v>1295</v>
      </c>
      <c r="B1170" s="8" t="n">
        <v>15</v>
      </c>
      <c r="C1170" s="7" t="n">
        <f aca="false">((1+B1170/100)^(1/12)-1)*100</f>
        <v>1.17149169198534</v>
      </c>
    </row>
    <row r="1171" customFormat="false" ht="15" hidden="false" customHeight="false" outlineLevel="0" collapsed="false">
      <c r="A1171" s="6" t="s">
        <v>805</v>
      </c>
      <c r="B1171" s="8" t="n">
        <v>15</v>
      </c>
      <c r="C1171" s="7" t="n">
        <f aca="false">((1+B1171/100)^(1/12)-1)*100</f>
        <v>1.17149169198534</v>
      </c>
    </row>
    <row r="1172" customFormat="false" ht="15" hidden="false" customHeight="false" outlineLevel="0" collapsed="false">
      <c r="A1172" s="6" t="s">
        <v>806</v>
      </c>
      <c r="B1172" s="8" t="n">
        <v>15</v>
      </c>
      <c r="C1172" s="7" t="n">
        <f aca="false">((1+B1172/100)^(1/12)-1)*100</f>
        <v>1.17149169198534</v>
      </c>
    </row>
    <row r="1173" customFormat="false" ht="15" hidden="false" customHeight="false" outlineLevel="0" collapsed="false">
      <c r="A1173" s="6" t="s">
        <v>807</v>
      </c>
      <c r="B1173" s="8" t="n">
        <v>15</v>
      </c>
      <c r="C1173" s="7" t="n">
        <f aca="false">((1+B1173/100)^(1/12)-1)*100</f>
        <v>1.17149169198534</v>
      </c>
    </row>
    <row r="1174" customFormat="false" ht="15" hidden="false" customHeight="false" outlineLevel="0" collapsed="false">
      <c r="A1174" s="6" t="s">
        <v>808</v>
      </c>
      <c r="B1174" s="8" t="n">
        <v>15</v>
      </c>
      <c r="C1174" s="7" t="n">
        <f aca="false">((1+B1174/100)^(1/12)-1)*100</f>
        <v>1.17149169198534</v>
      </c>
    </row>
    <row r="1175" customFormat="false" ht="15" hidden="false" customHeight="false" outlineLevel="0" collapsed="false">
      <c r="A1175" s="6" t="s">
        <v>809</v>
      </c>
      <c r="B1175" s="8" t="n">
        <v>15</v>
      </c>
      <c r="C1175" s="7" t="n">
        <f aca="false">((1+B1175/100)^(1/12)-1)*100</f>
        <v>1.17149169198534</v>
      </c>
    </row>
    <row r="1176" customFormat="false" ht="15" hidden="false" customHeight="false" outlineLevel="0" collapsed="false">
      <c r="A1176" s="6" t="s">
        <v>1296</v>
      </c>
      <c r="B1176" s="8" t="n">
        <v>15</v>
      </c>
      <c r="C1176" s="7" t="n">
        <f aca="false">((1+B1176/100)^(1/12)-1)*100</f>
        <v>1.17149169198534</v>
      </c>
    </row>
    <row r="1177" customFormat="false" ht="15" hidden="false" customHeight="false" outlineLevel="0" collapsed="false">
      <c r="A1177" s="6" t="s">
        <v>1297</v>
      </c>
      <c r="B1177" s="8" t="n">
        <v>15</v>
      </c>
      <c r="C1177" s="7" t="n">
        <f aca="false">((1+B1177/100)^(1/12)-1)*100</f>
        <v>1.17149169198534</v>
      </c>
    </row>
    <row r="1178" customFormat="false" ht="15" hidden="false" customHeight="false" outlineLevel="0" collapsed="false">
      <c r="A1178" s="6" t="s">
        <v>810</v>
      </c>
      <c r="B1178" s="8" t="n">
        <v>15</v>
      </c>
      <c r="C1178" s="7" t="n">
        <f aca="false">((1+B1178/100)^(1/12)-1)*100</f>
        <v>1.17149169198534</v>
      </c>
    </row>
    <row r="1179" customFormat="false" ht="15" hidden="false" customHeight="false" outlineLevel="0" collapsed="false">
      <c r="A1179" s="6" t="s">
        <v>811</v>
      </c>
      <c r="B1179" s="8" t="n">
        <v>15</v>
      </c>
      <c r="C1179" s="7" t="n">
        <f aca="false">((1+B1179/100)^(1/12)-1)*100</f>
        <v>1.17149169198534</v>
      </c>
    </row>
    <row r="1180" customFormat="false" ht="15" hidden="false" customHeight="false" outlineLevel="0" collapsed="false">
      <c r="A1180" s="6" t="s">
        <v>812</v>
      </c>
      <c r="B1180" s="8" t="n">
        <v>15</v>
      </c>
      <c r="C1180" s="7" t="n">
        <f aca="false">((1+B1180/100)^(1/12)-1)*100</f>
        <v>1.17149169198534</v>
      </c>
    </row>
    <row r="1181" customFormat="false" ht="15" hidden="false" customHeight="false" outlineLevel="0" collapsed="false">
      <c r="A1181" s="6" t="s">
        <v>813</v>
      </c>
      <c r="B1181" s="8" t="n">
        <v>14.75</v>
      </c>
      <c r="C1181" s="7" t="n">
        <f aca="false">((1+B1181/100)^(1/12)-1)*100</f>
        <v>1.15314523603434</v>
      </c>
    </row>
    <row r="1182" customFormat="false" ht="15" hidden="false" customHeight="false" outlineLevel="0" collapsed="false">
      <c r="A1182" s="6" t="s">
        <v>814</v>
      </c>
      <c r="B1182" s="8" t="n">
        <v>14.75</v>
      </c>
      <c r="C1182" s="7" t="n">
        <f aca="false">((1+B1182/100)^(1/12)-1)*100</f>
        <v>1.15314523603434</v>
      </c>
    </row>
    <row r="1183" customFormat="false" ht="15" hidden="false" customHeight="false" outlineLevel="0" collapsed="false">
      <c r="A1183" s="6" t="s">
        <v>1298</v>
      </c>
      <c r="B1183" s="8" t="n">
        <v>14.75</v>
      </c>
      <c r="C1183" s="7" t="n">
        <f aca="false">((1+B1183/100)^(1/12)-1)*100</f>
        <v>1.15314523603434</v>
      </c>
    </row>
    <row r="1184" customFormat="false" ht="15" hidden="false" customHeight="false" outlineLevel="0" collapsed="false">
      <c r="A1184" s="6" t="s">
        <v>1299</v>
      </c>
      <c r="B1184" s="8" t="n">
        <v>14.75</v>
      </c>
      <c r="C1184" s="7" t="n">
        <f aca="false">((1+B1184/100)^(1/12)-1)*100</f>
        <v>1.15314523603434</v>
      </c>
    </row>
    <row r="1185" customFormat="false" ht="15" hidden="false" customHeight="false" outlineLevel="0" collapsed="false">
      <c r="A1185" s="6" t="s">
        <v>815</v>
      </c>
      <c r="B1185" s="8" t="n">
        <v>14.75</v>
      </c>
      <c r="C1185" s="7" t="n">
        <f aca="false">((1+B1185/100)^(1/12)-1)*100</f>
        <v>1.15314523603434</v>
      </c>
    </row>
    <row r="1186" customFormat="false" ht="15" hidden="false" customHeight="false" outlineLevel="0" collapsed="false">
      <c r="A1186" s="6" t="s">
        <v>816</v>
      </c>
      <c r="B1186" s="8" t="n">
        <v>14.75</v>
      </c>
      <c r="C1186" s="7" t="n">
        <f aca="false">((1+B1186/100)^(1/12)-1)*100</f>
        <v>1.15314523603434</v>
      </c>
    </row>
    <row r="1187" customFormat="false" ht="15" hidden="false" customHeight="false" outlineLevel="0" collapsed="false">
      <c r="A1187" s="6" t="s">
        <v>817</v>
      </c>
      <c r="B1187" s="8" t="n">
        <v>14.75</v>
      </c>
      <c r="C1187" s="7" t="n">
        <f aca="false">((1+B1187/100)^(1/12)-1)*100</f>
        <v>1.15314523603434</v>
      </c>
    </row>
    <row r="1188" customFormat="false" ht="15" hidden="false" customHeight="false" outlineLevel="0" collapsed="false">
      <c r="A1188" s="6" t="s">
        <v>818</v>
      </c>
      <c r="B1188" s="8" t="n">
        <v>14.75</v>
      </c>
      <c r="C1188" s="7" t="n">
        <f aca="false">((1+B1188/100)^(1/12)-1)*100</f>
        <v>1.15314523603434</v>
      </c>
    </row>
    <row r="1189" customFormat="false" ht="15" hidden="false" customHeight="false" outlineLevel="0" collapsed="false">
      <c r="A1189" s="6" t="s">
        <v>819</v>
      </c>
      <c r="B1189" s="8" t="n">
        <v>14.75</v>
      </c>
      <c r="C1189" s="7" t="n">
        <f aca="false">((1+B1189/100)^(1/12)-1)*100</f>
        <v>1.15314523603434</v>
      </c>
    </row>
    <row r="1190" customFormat="false" ht="15" hidden="false" customHeight="false" outlineLevel="0" collapsed="false">
      <c r="A1190" s="6" t="s">
        <v>1300</v>
      </c>
      <c r="B1190" s="8" t="n">
        <v>14.75</v>
      </c>
      <c r="C1190" s="7" t="n">
        <f aca="false">((1+B1190/100)^(1/12)-1)*100</f>
        <v>1.15314523603434</v>
      </c>
    </row>
    <row r="1191" customFormat="false" ht="15" hidden="false" customHeight="false" outlineLevel="0" collapsed="false">
      <c r="A1191" s="6" t="s">
        <v>1301</v>
      </c>
      <c r="B1191" s="8" t="n">
        <v>14.75</v>
      </c>
      <c r="C1191" s="7" t="n">
        <f aca="false">((1+B1191/100)^(1/12)-1)*100</f>
        <v>1.15314523603434</v>
      </c>
    </row>
    <row r="1192" customFormat="false" ht="15" hidden="false" customHeight="false" outlineLevel="0" collapsed="false">
      <c r="A1192" s="6" t="s">
        <v>820</v>
      </c>
      <c r="B1192" s="8" t="n">
        <v>14.75</v>
      </c>
      <c r="C1192" s="7" t="n">
        <f aca="false">((1+B1192/100)^(1/12)-1)*100</f>
        <v>1.15314523603434</v>
      </c>
    </row>
    <row r="1193" customFormat="false" ht="15" hidden="false" customHeight="false" outlineLevel="0" collapsed="false">
      <c r="A1193" s="6" t="s">
        <v>821</v>
      </c>
      <c r="B1193" s="8" t="n">
        <v>14.75</v>
      </c>
      <c r="C1193" s="7" t="n">
        <f aca="false">((1+B1193/100)^(1/12)-1)*100</f>
        <v>1.15314523603434</v>
      </c>
    </row>
    <row r="1194" customFormat="false" ht="15" hidden="false" customHeight="false" outlineLevel="0" collapsed="false">
      <c r="A1194" s="6" t="s">
        <v>822</v>
      </c>
      <c r="B1194" s="8" t="n">
        <v>14.75</v>
      </c>
      <c r="C1194" s="7" t="n">
        <f aca="false">((1+B1194/100)^(1/12)-1)*100</f>
        <v>1.15314523603434</v>
      </c>
    </row>
    <row r="1195" customFormat="false" ht="15" hidden="false" customHeight="false" outlineLevel="0" collapsed="false">
      <c r="A1195" s="6" t="s">
        <v>823</v>
      </c>
      <c r="B1195" s="8" t="n">
        <v>14.75</v>
      </c>
      <c r="C1195" s="7" t="n">
        <f aca="false">((1+B1195/100)^(1/12)-1)*100</f>
        <v>1.15314523603434</v>
      </c>
    </row>
    <row r="1196" customFormat="false" ht="15" hidden="false" customHeight="false" outlineLevel="0" collapsed="false">
      <c r="A1196" s="6" t="s">
        <v>1302</v>
      </c>
      <c r="B1196" s="8" t="n">
        <v>14.75</v>
      </c>
      <c r="C1196" s="7" t="n">
        <f aca="false">((1+B1196/100)^(1/12)-1)*100</f>
        <v>1.15314523603434</v>
      </c>
    </row>
    <row r="1197" customFormat="false" ht="15" hidden="false" customHeight="false" outlineLevel="0" collapsed="false">
      <c r="A1197" s="6" t="s">
        <v>1303</v>
      </c>
      <c r="B1197" s="8" t="n">
        <v>14.75</v>
      </c>
      <c r="C1197" s="7" t="n">
        <f aca="false">((1+B1197/100)^(1/12)-1)*100</f>
        <v>1.15314523603434</v>
      </c>
    </row>
    <row r="1198" customFormat="false" ht="15" hidden="false" customHeight="false" outlineLevel="0" collapsed="false">
      <c r="A1198" s="6" t="s">
        <v>1304</v>
      </c>
      <c r="B1198" s="8" t="n">
        <v>14.75</v>
      </c>
      <c r="C1198" s="7" t="n">
        <f aca="false">((1+B1198/100)^(1/12)-1)*100</f>
        <v>1.15314523603434</v>
      </c>
    </row>
    <row r="1199" customFormat="false" ht="15" hidden="false" customHeight="false" outlineLevel="0" collapsed="false">
      <c r="A1199" s="6" t="s">
        <v>824</v>
      </c>
      <c r="B1199" s="8" t="n">
        <v>14.75</v>
      </c>
      <c r="C1199" s="7" t="n">
        <f aca="false">((1+B1199/100)^(1/12)-1)*100</f>
        <v>1.15314523603434</v>
      </c>
    </row>
    <row r="1200" customFormat="false" ht="15" hidden="false" customHeight="false" outlineLevel="0" collapsed="false">
      <c r="A1200" s="6" t="s">
        <v>825</v>
      </c>
      <c r="B1200" s="8" t="n">
        <v>14.75</v>
      </c>
      <c r="C1200" s="7" t="n">
        <f aca="false">((1+B1200/100)^(1/12)-1)*100</f>
        <v>1.15314523603434</v>
      </c>
    </row>
    <row r="1201" customFormat="false" ht="15" hidden="false" customHeight="false" outlineLevel="0" collapsed="false">
      <c r="A1201" s="6" t="s">
        <v>826</v>
      </c>
      <c r="B1201" s="8" t="n">
        <v>14.75</v>
      </c>
      <c r="C1201" s="7" t="n">
        <f aca="false">((1+B1201/100)^(1/12)-1)*100</f>
        <v>1.15314523603434</v>
      </c>
    </row>
    <row r="1202" customFormat="false" ht="15" hidden="false" customHeight="false" outlineLevel="0" collapsed="false">
      <c r="A1202" s="6" t="s">
        <v>827</v>
      </c>
      <c r="B1202" s="8" t="n">
        <v>14.75</v>
      </c>
      <c r="C1202" s="7" t="n">
        <f aca="false">((1+B1202/100)^(1/12)-1)*100</f>
        <v>1.15314523603434</v>
      </c>
    </row>
    <row r="1203" customFormat="false" ht="15" hidden="false" customHeight="false" outlineLevel="0" collapsed="false">
      <c r="A1203" s="6" t="s">
        <v>828</v>
      </c>
      <c r="B1203" s="8" t="n">
        <v>14.75</v>
      </c>
      <c r="C1203" s="7" t="n">
        <f aca="false">((1+B1203/100)^(1/12)-1)*100</f>
        <v>1.15314523603434</v>
      </c>
    </row>
    <row r="1204" customFormat="false" ht="15" hidden="false" customHeight="false" outlineLevel="0" collapsed="false">
      <c r="A1204" s="6" t="s">
        <v>1305</v>
      </c>
      <c r="B1204" s="8" t="n">
        <v>14.75</v>
      </c>
      <c r="C1204" s="7" t="n">
        <f aca="false">((1+B1204/100)^(1/12)-1)*100</f>
        <v>1.15314523603434</v>
      </c>
    </row>
    <row r="1205" customFormat="false" ht="15" hidden="false" customHeight="false" outlineLevel="0" collapsed="false">
      <c r="A1205" s="6" t="s">
        <v>1306</v>
      </c>
      <c r="B1205" s="8" t="n">
        <v>14.75</v>
      </c>
      <c r="C1205" s="7" t="n">
        <f aca="false">((1+B1205/100)^(1/12)-1)*100</f>
        <v>1.15314523603434</v>
      </c>
    </row>
    <row r="1206" customFormat="false" ht="15" hidden="false" customHeight="false" outlineLevel="0" collapsed="false">
      <c r="A1206" s="6" t="s">
        <v>829</v>
      </c>
      <c r="B1206" s="8" t="n">
        <v>14.75</v>
      </c>
      <c r="C1206" s="7" t="n">
        <f aca="false">((1+B1206/100)^(1/12)-1)*100</f>
        <v>1.15314523603434</v>
      </c>
    </row>
    <row r="1207" customFormat="false" ht="15" hidden="false" customHeight="false" outlineLevel="0" collapsed="false">
      <c r="A1207" s="6" t="s">
        <v>830</v>
      </c>
      <c r="B1207" s="8" t="n">
        <v>14.75</v>
      </c>
      <c r="C1207" s="7" t="n">
        <f aca="false">((1+B1207/100)^(1/12)-1)*100</f>
        <v>1.15314523603434</v>
      </c>
    </row>
    <row r="1208" customFormat="false" ht="15" hidden="false" customHeight="false" outlineLevel="0" collapsed="false">
      <c r="A1208" s="6" t="s">
        <v>831</v>
      </c>
      <c r="B1208" s="8" t="n">
        <v>14.75</v>
      </c>
      <c r="C1208" s="7" t="n">
        <f aca="false">((1+B1208/100)^(1/12)-1)*100</f>
        <v>1.15314523603434</v>
      </c>
    </row>
    <row r="1209" customFormat="false" ht="15" hidden="false" customHeight="false" outlineLevel="0" collapsed="false">
      <c r="A1209" s="6" t="s">
        <v>832</v>
      </c>
      <c r="B1209" s="8" t="n">
        <v>14.75</v>
      </c>
      <c r="C1209" s="7" t="n">
        <f aca="false">((1+B1209/100)^(1/12)-1)*100</f>
        <v>1.15314523603434</v>
      </c>
    </row>
    <row r="1210" customFormat="false" ht="15" hidden="false" customHeight="false" outlineLevel="0" collapsed="false">
      <c r="A1210" s="6" t="s">
        <v>833</v>
      </c>
      <c r="B1210" s="8" t="n">
        <v>14.75</v>
      </c>
      <c r="C1210" s="7" t="n">
        <f aca="false">((1+B1210/100)^(1/12)-1)*100</f>
        <v>1.15314523603434</v>
      </c>
    </row>
    <row r="1211" customFormat="false" ht="15" hidden="false" customHeight="false" outlineLevel="0" collapsed="false">
      <c r="A1211" s="6" t="s">
        <v>1307</v>
      </c>
      <c r="B1211" s="8" t="n">
        <v>14.75</v>
      </c>
      <c r="C1211" s="7" t="n">
        <f aca="false">((1+B1211/100)^(1/12)-1)*100</f>
        <v>1.15314523603434</v>
      </c>
    </row>
    <row r="1212" customFormat="false" ht="15" hidden="false" customHeight="false" outlineLevel="0" collapsed="false">
      <c r="A1212" s="6" t="s">
        <v>1308</v>
      </c>
      <c r="B1212" s="8" t="n">
        <v>14.75</v>
      </c>
      <c r="C1212" s="7" t="n">
        <f aca="false">((1+B1212/100)^(1/12)-1)*100</f>
        <v>1.15314523603434</v>
      </c>
    </row>
    <row r="1213" customFormat="false" ht="15" hidden="false" customHeight="false" outlineLevel="0" collapsed="false">
      <c r="A1213" s="6" t="s">
        <v>834</v>
      </c>
      <c r="B1213" s="8" t="n">
        <v>14.75</v>
      </c>
      <c r="C1213" s="7" t="n">
        <f aca="false">((1+B1213/100)^(1/12)-1)*100</f>
        <v>1.15314523603434</v>
      </c>
    </row>
    <row r="1214" customFormat="false" ht="15" hidden="false" customHeight="false" outlineLevel="0" collapsed="false">
      <c r="A1214" s="6" t="s">
        <v>1309</v>
      </c>
      <c r="B1214" s="8" t="n">
        <v>14.75</v>
      </c>
      <c r="C1214" s="7" t="n">
        <f aca="false">((1+B1214/100)^(1/12)-1)*100</f>
        <v>1.15314523603434</v>
      </c>
    </row>
    <row r="1215" customFormat="false" ht="15" hidden="false" customHeight="false" outlineLevel="0" collapsed="false">
      <c r="A1215" s="6" t="s">
        <v>835</v>
      </c>
      <c r="B1215" s="8" t="n">
        <v>14.75</v>
      </c>
      <c r="C1215" s="7" t="n">
        <f aca="false">((1+B1215/100)^(1/12)-1)*100</f>
        <v>1.15314523603434</v>
      </c>
    </row>
    <row r="1216" customFormat="false" ht="15" hidden="false" customHeight="false" outlineLevel="0" collapsed="false">
      <c r="A1216" s="6" t="s">
        <v>836</v>
      </c>
      <c r="B1216" s="8" t="n">
        <v>14.75</v>
      </c>
      <c r="C1216" s="7" t="n">
        <f aca="false">((1+B1216/100)^(1/12)-1)*100</f>
        <v>1.15314523603434</v>
      </c>
    </row>
    <row r="1217" customFormat="false" ht="15" hidden="false" customHeight="false" outlineLevel="0" collapsed="false">
      <c r="A1217" s="6" t="s">
        <v>837</v>
      </c>
      <c r="B1217" s="8" t="n">
        <v>14.75</v>
      </c>
      <c r="C1217" s="7" t="n">
        <f aca="false">((1+B1217/100)^(1/12)-1)*100</f>
        <v>1.15314523603434</v>
      </c>
    </row>
    <row r="1218" customFormat="false" ht="15" hidden="false" customHeight="false" outlineLevel="0" collapsed="false">
      <c r="A1218" s="6" t="s">
        <v>1310</v>
      </c>
      <c r="B1218" s="8" t="n">
        <v>14.75</v>
      </c>
      <c r="C1218" s="7" t="n">
        <f aca="false">((1+B1218/100)^(1/12)-1)*100</f>
        <v>1.15314523603434</v>
      </c>
    </row>
    <row r="1219" customFormat="false" ht="15" hidden="false" customHeight="false" outlineLevel="0" collapsed="false">
      <c r="A1219" s="6" t="s">
        <v>1311</v>
      </c>
      <c r="B1219" s="8" t="n">
        <v>14.75</v>
      </c>
      <c r="C1219" s="7" t="n">
        <f aca="false">((1+B1219/100)^(1/12)-1)*100</f>
        <v>1.15314523603434</v>
      </c>
    </row>
    <row r="1220" customFormat="false" ht="15" hidden="false" customHeight="false" outlineLevel="0" collapsed="false">
      <c r="A1220" s="6" t="s">
        <v>838</v>
      </c>
      <c r="B1220" s="8" t="n">
        <v>14.75</v>
      </c>
      <c r="C1220" s="7" t="n">
        <f aca="false">((1+B1220/100)^(1/12)-1)*100</f>
        <v>1.15314523603434</v>
      </c>
    </row>
    <row r="1221" customFormat="false" ht="15" hidden="false" customHeight="false" outlineLevel="0" collapsed="false">
      <c r="A1221" s="6" t="s">
        <v>839</v>
      </c>
      <c r="B1221" s="8" t="n">
        <v>14.75</v>
      </c>
      <c r="C1221" s="7" t="n">
        <f aca="false">((1+B1221/100)^(1/12)-1)*100</f>
        <v>1.15314523603434</v>
      </c>
    </row>
    <row r="1222" customFormat="false" ht="15" hidden="false" customHeight="false" outlineLevel="0" collapsed="false">
      <c r="A1222" s="6" t="s">
        <v>840</v>
      </c>
      <c r="B1222" s="8" t="n">
        <v>14.75</v>
      </c>
      <c r="C1222" s="7" t="n">
        <f aca="false">((1+B1222/100)^(1/12)-1)*100</f>
        <v>1.15314523603434</v>
      </c>
    </row>
    <row r="1223" customFormat="false" ht="15" hidden="false" customHeight="false" outlineLevel="0" collapsed="false">
      <c r="A1223" s="6" t="s">
        <v>841</v>
      </c>
      <c r="B1223" s="8" t="n">
        <v>14.5</v>
      </c>
      <c r="C1223" s="7" t="n">
        <f aca="false">((1+B1223/100)^(1/12)-1)*100</f>
        <v>1.13476210381231</v>
      </c>
    </row>
    <row r="1224" customFormat="false" ht="15" hidden="false" customHeight="false" outlineLevel="0" collapsed="false">
      <c r="A1224" s="6" t="s">
        <v>1312</v>
      </c>
      <c r="B1224" s="8" t="n">
        <v>14.5</v>
      </c>
      <c r="C1224" s="7" t="n">
        <f aca="false">((1+B1224/100)^(1/12)-1)*100</f>
        <v>1.13476210381231</v>
      </c>
    </row>
    <row r="1225" customFormat="false" ht="15" hidden="false" customHeight="false" outlineLevel="0" collapsed="false">
      <c r="A1225" s="6" t="s">
        <v>1313</v>
      </c>
      <c r="B1225" s="8" t="n">
        <v>14.5</v>
      </c>
      <c r="C1225" s="7" t="n">
        <f aca="false">((1+B1225/100)^(1/12)-1)*100</f>
        <v>1.13476210381231</v>
      </c>
    </row>
    <row r="1226" customFormat="false" ht="15" hidden="false" customHeight="false" outlineLevel="0" collapsed="false">
      <c r="A1226" s="6" t="s">
        <v>1314</v>
      </c>
      <c r="B1226" s="8" t="n">
        <v>14.5</v>
      </c>
      <c r="C1226" s="7" t="n">
        <f aca="false">((1+B1226/100)^(1/12)-1)*100</f>
        <v>1.13476210381231</v>
      </c>
    </row>
    <row r="1227" customFormat="false" ht="15" hidden="false" customHeight="false" outlineLevel="0" collapsed="false">
      <c r="A1227" s="6" t="s">
        <v>842</v>
      </c>
      <c r="B1227" s="8" t="n">
        <v>14.5</v>
      </c>
      <c r="C1227" s="7" t="n">
        <f aca="false">((1+B1227/100)^(1/12)-1)*100</f>
        <v>1.13476210381231</v>
      </c>
    </row>
    <row r="1228" customFormat="false" ht="15" hidden="false" customHeight="false" outlineLevel="0" collapsed="false">
      <c r="A1228" s="6" t="s">
        <v>843</v>
      </c>
      <c r="B1228" s="8" t="n">
        <v>14.5</v>
      </c>
      <c r="C1228" s="7" t="n">
        <f aca="false">((1+B1228/100)^(1/12)-1)*100</f>
        <v>1.13476210381231</v>
      </c>
    </row>
    <row r="1229" customFormat="false" ht="15" hidden="false" customHeight="false" outlineLevel="0" collapsed="false">
      <c r="A1229" s="6" t="s">
        <v>844</v>
      </c>
      <c r="B1229" s="8" t="n">
        <v>14.5</v>
      </c>
      <c r="C1229" s="7" t="n">
        <f aca="false">((1+B1229/100)^(1/12)-1)*100</f>
        <v>1.13476210381231</v>
      </c>
    </row>
    <row r="1230" customFormat="false" ht="15" hidden="false" customHeight="false" outlineLevel="0" collapsed="false">
      <c r="A1230" s="6" t="s">
        <v>845</v>
      </c>
      <c r="B1230" s="8" t="n">
        <v>14.5</v>
      </c>
      <c r="C1230" s="7" t="n">
        <f aca="false">((1+B1230/100)^(1/12)-1)*100</f>
        <v>1.13476210381231</v>
      </c>
    </row>
    <row r="1231" customFormat="false" ht="15" hidden="false" customHeight="false" outlineLevel="0" collapsed="false">
      <c r="A1231" s="6" t="s">
        <v>846</v>
      </c>
      <c r="B1231" s="8" t="n">
        <v>14.5</v>
      </c>
      <c r="C1231" s="7" t="n">
        <f aca="false">((1+B1231/100)^(1/12)-1)*100</f>
        <v>1.13476210381231</v>
      </c>
    </row>
    <row r="1232" customFormat="false" ht="15" hidden="false" customHeight="false" outlineLevel="0" collapsed="false">
      <c r="A1232" s="6" t="s">
        <v>1315</v>
      </c>
      <c r="B1232" s="8" t="n">
        <v>14.5</v>
      </c>
      <c r="C1232" s="7" t="n">
        <f aca="false">((1+B1232/100)^(1/12)-1)*100</f>
        <v>1.13476210381231</v>
      </c>
    </row>
    <row r="1233" customFormat="false" ht="15" hidden="false" customHeight="false" outlineLevel="0" collapsed="false">
      <c r="A1233" s="6" t="s">
        <v>1316</v>
      </c>
      <c r="B1233" s="8" t="n">
        <v>14.5</v>
      </c>
      <c r="C1233" s="7" t="n">
        <f aca="false">((1+B1233/100)^(1/12)-1)*100</f>
        <v>1.13476210381231</v>
      </c>
    </row>
    <row r="1234" customFormat="false" ht="15" hidden="false" customHeight="false" outlineLevel="0" collapsed="false">
      <c r="A1234" s="6" t="s">
        <v>847</v>
      </c>
      <c r="B1234" s="8" t="n">
        <v>14.5</v>
      </c>
      <c r="C1234" s="7" t="n">
        <f aca="false">((1+B1234/100)^(1/12)-1)*100</f>
        <v>1.13476210381231</v>
      </c>
    </row>
    <row r="1235" customFormat="false" ht="15" hidden="false" customHeight="false" outlineLevel="0" collapsed="false">
      <c r="A1235" s="6" t="s">
        <v>848</v>
      </c>
      <c r="B1235" s="8" t="n">
        <v>14.5</v>
      </c>
      <c r="C1235" s="7" t="n">
        <f aca="false">((1+B1235/100)^(1/12)-1)*100</f>
        <v>1.13476210381231</v>
      </c>
    </row>
    <row r="1236" customFormat="false" ht="15" hidden="false" customHeight="false" outlineLevel="0" collapsed="false">
      <c r="A1236" s="6" t="s">
        <v>849</v>
      </c>
      <c r="B1236" s="8" t="n">
        <v>14.5</v>
      </c>
      <c r="C1236" s="7" t="n">
        <f aca="false">((1+B1236/100)^(1/12)-1)*100</f>
        <v>1.13476210381231</v>
      </c>
    </row>
    <row r="1237" customFormat="false" ht="15" hidden="false" customHeight="false" outlineLevel="0" collapsed="false">
      <c r="A1237" s="6" t="s">
        <v>850</v>
      </c>
      <c r="B1237" s="8" t="n">
        <v>14.5</v>
      </c>
      <c r="C1237" s="7" t="n">
        <f aca="false">((1+B1237/100)^(1/12)-1)*100</f>
        <v>1.13476210381231</v>
      </c>
    </row>
    <row r="1238" customFormat="false" ht="15" hidden="false" customHeight="false" outlineLevel="0" collapsed="false">
      <c r="A1238" s="6" t="s">
        <v>851</v>
      </c>
      <c r="B1238" s="8" t="n">
        <v>14.5</v>
      </c>
      <c r="C1238" s="7" t="n">
        <f aca="false">((1+B1238/100)^(1/12)-1)*100</f>
        <v>1.13476210381231</v>
      </c>
    </row>
    <row r="1239" customFormat="false" ht="15" hidden="false" customHeight="false" outlineLevel="0" collapsed="false">
      <c r="A1239" s="6" t="s">
        <v>1317</v>
      </c>
      <c r="B1239" s="8" t="n">
        <v>14.5</v>
      </c>
      <c r="C1239" s="7" t="n">
        <f aca="false">((1+B1239/100)^(1/12)-1)*100</f>
        <v>1.13476210381231</v>
      </c>
    </row>
    <row r="1240" customFormat="false" ht="15" hidden="false" customHeight="false" outlineLevel="0" collapsed="false">
      <c r="A1240" s="6" t="s">
        <v>1318</v>
      </c>
      <c r="B1240" s="8" t="n">
        <v>14.5</v>
      </c>
      <c r="C1240" s="7" t="n">
        <f aca="false">((1+B1240/100)^(1/12)-1)*100</f>
        <v>1.13476210381231</v>
      </c>
    </row>
    <row r="1241" customFormat="false" ht="15" hidden="false" customHeight="false" outlineLevel="0" collapsed="false">
      <c r="A1241" s="6" t="s">
        <v>852</v>
      </c>
      <c r="B1241" s="8" t="n">
        <v>14.5</v>
      </c>
      <c r="C1241" s="7" t="n">
        <f aca="false">((1+B1241/100)^(1/12)-1)*100</f>
        <v>1.13476210381231</v>
      </c>
    </row>
    <row r="1242" customFormat="false" ht="15" hidden="false" customHeight="false" outlineLevel="0" collapsed="false">
      <c r="A1242" s="6" t="s">
        <v>853</v>
      </c>
      <c r="B1242" s="8" t="n">
        <v>14.5</v>
      </c>
      <c r="C1242" s="7" t="n">
        <f aca="false">((1+B1242/100)^(1/12)-1)*100</f>
        <v>1.13476210381231</v>
      </c>
    </row>
    <row r="1243" customFormat="false" ht="15" hidden="false" customHeight="false" outlineLevel="0" collapsed="false">
      <c r="A1243" s="6" t="s">
        <v>854</v>
      </c>
      <c r="B1243" s="8" t="n">
        <v>14.5</v>
      </c>
      <c r="C1243" s="7" t="n">
        <f aca="false">((1+B1243/100)^(1/12)-1)*100</f>
        <v>1.13476210381231</v>
      </c>
    </row>
    <row r="1244" customFormat="false" ht="15" hidden="false" customHeight="false" outlineLevel="0" collapsed="false">
      <c r="A1244" s="6" t="s">
        <v>855</v>
      </c>
      <c r="B1244" s="8" t="n">
        <v>14.5</v>
      </c>
      <c r="C1244" s="7" t="n">
        <f aca="false">((1+B1244/100)^(1/12)-1)*100</f>
        <v>1.13476210381231</v>
      </c>
    </row>
    <row r="1245" customFormat="false" ht="15" hidden="false" customHeight="false" outlineLevel="0" collapsed="false">
      <c r="A1245" s="6" t="s">
        <v>856</v>
      </c>
      <c r="B1245" s="8" t="n">
        <v>14.5</v>
      </c>
      <c r="C1245" s="7" t="n">
        <f aca="false">((1+B1245/100)^(1/12)-1)*100</f>
        <v>1.13476210381231</v>
      </c>
    </row>
    <row r="1246" customFormat="false" ht="15" hidden="false" customHeight="false" outlineLevel="0" collapsed="false">
      <c r="A1246" s="6" t="s">
        <v>1319</v>
      </c>
      <c r="B1246" s="8" t="n">
        <v>14.5</v>
      </c>
      <c r="C1246" s="7" t="n">
        <f aca="false">((1+B1246/100)^(1/12)-1)*100</f>
        <v>1.13476210381231</v>
      </c>
    </row>
    <row r="1247" customFormat="false" ht="15" hidden="false" customHeight="false" outlineLevel="0" collapsed="false">
      <c r="A1247" s="6" t="s">
        <v>1320</v>
      </c>
      <c r="B1247" s="8" t="n">
        <v>14.5</v>
      </c>
      <c r="C1247" s="7" t="n">
        <f aca="false">((1+B1247/100)^(1/12)-1)*100</f>
        <v>1.13476210381231</v>
      </c>
    </row>
    <row r="1248" customFormat="false" ht="15" hidden="false" customHeight="false" outlineLevel="0" collapsed="false">
      <c r="A1248" s="6" t="s">
        <v>857</v>
      </c>
      <c r="B1248" s="8" t="n">
        <v>14.5</v>
      </c>
      <c r="C1248" s="7" t="n">
        <f aca="false">((1+B1248/100)^(1/12)-1)*100</f>
        <v>1.13476210381231</v>
      </c>
    </row>
    <row r="1249" customFormat="false" ht="15" hidden="false" customHeight="false" outlineLevel="0" collapsed="false">
      <c r="A1249" s="6" t="s">
        <v>858</v>
      </c>
      <c r="B1249" s="8" t="n">
        <v>14.5</v>
      </c>
      <c r="C1249" s="7" t="n">
        <f aca="false">((1+B1249/100)^(1/12)-1)*100</f>
        <v>1.13476210381231</v>
      </c>
    </row>
    <row r="1250" customFormat="false" ht="15" hidden="false" customHeight="false" outlineLevel="0" collapsed="false">
      <c r="A1250" s="6" t="s">
        <v>859</v>
      </c>
      <c r="B1250" s="8" t="n">
        <v>14.5</v>
      </c>
      <c r="C1250" s="7" t="n">
        <f aca="false">((1+B1250/100)^(1/12)-1)*100</f>
        <v>1.13476210381231</v>
      </c>
    </row>
    <row r="1251" customFormat="false" ht="15" hidden="false" customHeight="false" outlineLevel="0" collapsed="false">
      <c r="A1251" s="6" t="s">
        <v>860</v>
      </c>
      <c r="B1251" s="8" t="n">
        <v>14.5</v>
      </c>
      <c r="C1251" s="7" t="n">
        <f aca="false">((1+B1251/100)^(1/12)-1)*100</f>
        <v>1.13476210381231</v>
      </c>
    </row>
    <row r="1252" customFormat="false" ht="15" hidden="false" customHeight="false" outlineLevel="0" collapsed="false">
      <c r="A1252" s="6" t="s">
        <v>861</v>
      </c>
      <c r="B1252" s="8" t="n">
        <v>14.5</v>
      </c>
      <c r="C1252" s="7" t="n">
        <f aca="false">((1+B1252/100)^(1/12)-1)*100</f>
        <v>1.13476210381231</v>
      </c>
    </row>
    <row r="1253" customFormat="false" ht="15" hidden="false" customHeight="false" outlineLevel="0" collapsed="false">
      <c r="A1253" s="6" t="s">
        <v>1321</v>
      </c>
      <c r="B1253" s="8" t="n">
        <v>14.5</v>
      </c>
      <c r="C1253" s="7" t="n">
        <f aca="false">((1+B1253/100)^(1/12)-1)*100</f>
        <v>1.13476210381231</v>
      </c>
    </row>
    <row r="1254" customFormat="false" ht="15" hidden="false" customHeight="false" outlineLevel="0" collapsed="false">
      <c r="A1254" s="6" t="s">
        <v>1322</v>
      </c>
      <c r="B1254" s="8" t="n">
        <v>14.5</v>
      </c>
      <c r="C1254" s="7" t="n">
        <f aca="false">((1+B1254/100)^(1/12)-1)*100</f>
        <v>1.13476210381231</v>
      </c>
    </row>
    <row r="1255" customFormat="false" ht="15" hidden="false" customHeight="false" outlineLevel="0" collapsed="false">
      <c r="A1255" s="6" t="s">
        <v>862</v>
      </c>
      <c r="B1255" s="8" t="n">
        <v>14.5</v>
      </c>
      <c r="C1255" s="7" t="n">
        <f aca="false">((1+B1255/100)^(1/12)-1)*100</f>
        <v>1.13476210381231</v>
      </c>
    </row>
    <row r="1256" customFormat="false" ht="15" hidden="false" customHeight="false" outlineLevel="0" collapsed="false">
      <c r="A1256" s="6" t="s">
        <v>863</v>
      </c>
      <c r="B1256" s="8" t="n">
        <v>14.5</v>
      </c>
      <c r="C1256" s="7" t="n">
        <f aca="false">((1+B1256/100)^(1/12)-1)*100</f>
        <v>1.13476210381231</v>
      </c>
    </row>
    <row r="1257" customFormat="false" ht="15" hidden="false" customHeight="false" outlineLevel="0" collapsed="false">
      <c r="A1257" s="6" t="s">
        <v>864</v>
      </c>
      <c r="B1257" s="8" t="n">
        <v>14.5</v>
      </c>
      <c r="C1257" s="7" t="n">
        <f aca="false">((1+B1257/100)^(1/12)-1)*100</f>
        <v>1.13476210381231</v>
      </c>
    </row>
    <row r="1258" customFormat="false" ht="15" hidden="false" customHeight="false" outlineLevel="0" collapsed="false">
      <c r="A1258" s="6" t="s">
        <v>1323</v>
      </c>
      <c r="B1258" s="8" t="n">
        <v>14.5</v>
      </c>
      <c r="C1258" s="7" t="n">
        <f aca="false">((1+B1258/100)^(1/12)-1)*100</f>
        <v>1.13476210381231</v>
      </c>
    </row>
    <row r="1259" customFormat="false" ht="15" hidden="false" customHeight="false" outlineLevel="0" collapsed="false">
      <c r="A1259" s="6" t="s">
        <v>865</v>
      </c>
      <c r="B1259" s="8" t="n">
        <v>14.5</v>
      </c>
      <c r="C1259" s="7" t="n">
        <f aca="false">((1+B1259/100)^(1/12)-1)*100</f>
        <v>1.13476210381231</v>
      </c>
    </row>
    <row r="1260" customFormat="false" ht="15" hidden="false" customHeight="false" outlineLevel="0" collapsed="false">
      <c r="A1260" s="6" t="s">
        <v>1324</v>
      </c>
      <c r="B1260" s="8" t="n">
        <v>14.5</v>
      </c>
      <c r="C1260" s="7" t="n">
        <f aca="false">((1+B1260/100)^(1/12)-1)*100</f>
        <v>1.13476210381231</v>
      </c>
    </row>
    <row r="1261" customFormat="false" ht="15" hidden="false" customHeight="false" outlineLevel="0" collapsed="false">
      <c r="A1261" s="6" t="s">
        <v>1325</v>
      </c>
      <c r="B1261" s="8" t="n">
        <v>14.5</v>
      </c>
      <c r="C1261" s="7" t="n">
        <f aca="false">((1+B1261/100)^(1/12)-1)*100</f>
        <v>1.13476210381231</v>
      </c>
    </row>
    <row r="1262" customFormat="false" ht="15" hidden="false" customHeight="false" outlineLevel="0" collapsed="false">
      <c r="A1262" s="6" t="s">
        <v>866</v>
      </c>
      <c r="B1262" s="8" t="n">
        <v>14.5</v>
      </c>
      <c r="C1262" s="7" t="n">
        <f aca="false">((1+B1262/100)^(1/12)-1)*100</f>
        <v>1.13476210381231</v>
      </c>
    </row>
    <row r="1263" customFormat="false" ht="15" hidden="false" customHeight="false" outlineLevel="0" collapsed="false">
      <c r="A1263" s="6" t="s">
        <v>867</v>
      </c>
      <c r="B1263" s="8" t="n">
        <v>14.5</v>
      </c>
      <c r="C1263" s="7" t="n">
        <f aca="false">((1+B1263/100)^(1/12)-1)*100</f>
        <v>1.13476210381231</v>
      </c>
    </row>
    <row r="1264" customFormat="false" ht="15" hidden="false" customHeight="false" outlineLevel="0" collapsed="false">
      <c r="A1264" s="6" t="s">
        <v>868</v>
      </c>
      <c r="B1264" s="8" t="n">
        <v>14.5</v>
      </c>
      <c r="C1264" s="7" t="n">
        <f aca="false">((1+B1264/100)^(1/12)-1)*100</f>
        <v>1.13476210381231</v>
      </c>
    </row>
    <row r="1265" customFormat="false" ht="15" hidden="false" customHeight="false" outlineLevel="0" collapsed="false">
      <c r="A1265" s="6" t="s">
        <v>869</v>
      </c>
      <c r="B1265" s="8" t="n">
        <v>14.5</v>
      </c>
      <c r="C1265" s="7" t="n">
        <f aca="false">((1+B1265/100)^(1/12)-1)*100</f>
        <v>1.13476210381231</v>
      </c>
    </row>
    <row r="1266" customFormat="false" ht="15" hidden="false" customHeight="false" outlineLevel="0" collapsed="false">
      <c r="A1266" s="6" t="s">
        <v>870</v>
      </c>
      <c r="B1266" s="8" t="n">
        <v>14.5</v>
      </c>
      <c r="C1266" s="7" t="n">
        <f aca="false">((1+B1266/100)^(1/12)-1)*100</f>
        <v>1.13476210381231</v>
      </c>
    </row>
    <row r="1267" customFormat="false" ht="15" hidden="false" customHeight="false" outlineLevel="0" collapsed="false">
      <c r="A1267" s="6" t="s">
        <v>1326</v>
      </c>
      <c r="B1267" s="8" t="n">
        <v>14.5</v>
      </c>
      <c r="C1267" s="7" t="n">
        <f aca="false">((1+B1267/100)^(1/12)-1)*100</f>
        <v>1.13476210381231</v>
      </c>
    </row>
    <row r="1268" customFormat="false" ht="15" hidden="false" customHeight="false" outlineLevel="0" collapsed="false">
      <c r="A1268" s="6" t="s">
        <v>1327</v>
      </c>
      <c r="B1268" s="8" t="n">
        <v>14.5</v>
      </c>
      <c r="C1268" s="7" t="n">
        <f aca="false">((1+B1268/100)^(1/12)-1)*100</f>
        <v>1.13476210381231</v>
      </c>
    </row>
    <row r="1269" customFormat="false" ht="15" hidden="false" customHeight="false" outlineLevel="0" collapsed="false">
      <c r="A1269" s="6" t="s">
        <v>871</v>
      </c>
      <c r="B1269" s="8" t="n">
        <v>14.5</v>
      </c>
      <c r="C1269" s="7" t="n">
        <f aca="false">((1+B1269/100)^(1/12)-1)*100</f>
        <v>1.13476210381231</v>
      </c>
    </row>
    <row r="1270" customFormat="false" ht="15" hidden="false" customHeight="false" outlineLevel="0" collapsed="false">
      <c r="A1270" s="6" t="s">
        <v>872</v>
      </c>
      <c r="B1270" s="8" t="n">
        <v>14.5</v>
      </c>
      <c r="C1270" s="7" t="n">
        <f aca="false">((1+B1270/100)^(1/12)-1)*100</f>
        <v>1.13476210381231</v>
      </c>
    </row>
    <row r="1271" customFormat="false" ht="15" hidden="false" customHeight="false" outlineLevel="0" collapsed="false">
      <c r="A1271" s="6" t="s">
        <v>873</v>
      </c>
      <c r="B1271" s="8" t="n">
        <v>14.5</v>
      </c>
      <c r="C1271" s="7" t="n">
        <f aca="false">((1+B1271/100)^(1/12)-1)*100</f>
        <v>1.13476210381231</v>
      </c>
    </row>
    <row r="1272" customFormat="false" ht="15" hidden="false" customHeight="false" outlineLevel="0" collapsed="false">
      <c r="A1272" s="6" t="s">
        <v>874</v>
      </c>
      <c r="B1272" s="8" t="n">
        <v>14.25</v>
      </c>
      <c r="C1272" s="7" t="n">
        <f aca="false">((1+B1272/100)^(1/12)-1)*100</f>
        <v>1.11634214168019</v>
      </c>
    </row>
    <row r="1273" customFormat="false" ht="15" hidden="false" customHeight="false" outlineLevel="0" collapsed="false">
      <c r="A1273" s="6" t="s">
        <v>875</v>
      </c>
      <c r="B1273" s="8" t="n">
        <v>14.25</v>
      </c>
      <c r="C1273" s="7" t="n">
        <f aca="false">((1+B1273/100)^(1/12)-1)*100</f>
        <v>1.11634214168019</v>
      </c>
    </row>
    <row r="1274" customFormat="false" ht="15" hidden="false" customHeight="false" outlineLevel="0" collapsed="false">
      <c r="A1274" s="6" t="s">
        <v>1328</v>
      </c>
      <c r="B1274" s="8" t="n">
        <v>14.25</v>
      </c>
      <c r="C1274" s="7" t="n">
        <f aca="false">((1+B1274/100)^(1/12)-1)*100</f>
        <v>1.11634214168019</v>
      </c>
    </row>
    <row r="1275" customFormat="false" ht="15" hidden="false" customHeight="false" outlineLevel="0" collapsed="false">
      <c r="A1275" s="6" t="s">
        <v>1329</v>
      </c>
      <c r="B1275" s="8" t="n">
        <v>14.25</v>
      </c>
      <c r="C1275" s="7" t="n">
        <f aca="false">((1+B1275/100)^(1/12)-1)*100</f>
        <v>1.11634214168019</v>
      </c>
    </row>
    <row r="1276" customFormat="false" ht="15" hidden="false" customHeight="false" outlineLevel="0" collapsed="false">
      <c r="A1276" s="6" t="s">
        <v>876</v>
      </c>
      <c r="B1276" s="8" t="n">
        <v>14.25</v>
      </c>
      <c r="C1276" s="7" t="n">
        <f aca="false">((1+B1276/100)^(1/12)-1)*100</f>
        <v>1.11634214168019</v>
      </c>
    </row>
    <row r="1277" customFormat="false" ht="15" hidden="false" customHeight="false" outlineLevel="0" collapsed="false">
      <c r="A1277" s="6" t="s">
        <v>877</v>
      </c>
      <c r="B1277" s="8" t="n">
        <v>14.25</v>
      </c>
      <c r="C1277" s="7" t="n">
        <f aca="false">((1+B1277/100)^(1/12)-1)*100</f>
        <v>1.11634214168019</v>
      </c>
    </row>
    <row r="1278" customFormat="false" ht="15" hidden="false" customHeight="false" outlineLevel="0" collapsed="false">
      <c r="A1278" s="6" t="s">
        <v>878</v>
      </c>
      <c r="B1278" s="8" t="n">
        <v>14.25</v>
      </c>
      <c r="C1278" s="7" t="n">
        <f aca="false">((1+B1278/100)^(1/12)-1)*100</f>
        <v>1.11634214168019</v>
      </c>
    </row>
    <row r="1279" customFormat="false" ht="15" hidden="false" customHeight="false" outlineLevel="0" collapsed="false">
      <c r="A1279" s="6" t="s">
        <v>879</v>
      </c>
      <c r="B1279" s="8" t="n">
        <v>14.25</v>
      </c>
      <c r="C1279" s="7" t="n">
        <f aca="false">((1+B1279/100)^(1/12)-1)*100</f>
        <v>1.11634214168019</v>
      </c>
    </row>
    <row r="1280" customFormat="false" ht="15" hidden="false" customHeight="false" outlineLevel="0" collapsed="false">
      <c r="A1280" s="6" t="s">
        <v>880</v>
      </c>
      <c r="B1280" s="8" t="n">
        <v>14.25</v>
      </c>
      <c r="C1280" s="7" t="n">
        <f aca="false">((1+B1280/100)^(1/12)-1)*100</f>
        <v>1.11634214168019</v>
      </c>
    </row>
    <row r="1281" customFormat="false" ht="15" hidden="false" customHeight="false" outlineLevel="0" collapsed="false">
      <c r="A1281" s="6" t="s">
        <v>1330</v>
      </c>
      <c r="B1281" s="8" t="n">
        <v>14.25</v>
      </c>
      <c r="C1281" s="7" t="n">
        <f aca="false">((1+B1281/100)^(1/12)-1)*100</f>
        <v>1.11634214168019</v>
      </c>
    </row>
    <row r="1282" customFormat="false" ht="15" hidden="false" customHeight="false" outlineLevel="0" collapsed="false">
      <c r="A1282" s="6" t="s">
        <v>1331</v>
      </c>
      <c r="B1282" s="8" t="n">
        <v>14.25</v>
      </c>
      <c r="C1282" s="7" t="n">
        <f aca="false">((1+B1282/100)^(1/12)-1)*100</f>
        <v>1.11634214168019</v>
      </c>
    </row>
    <row r="1283" customFormat="false" ht="15" hidden="false" customHeight="false" outlineLevel="0" collapsed="false">
      <c r="A1283" s="6" t="s">
        <v>881</v>
      </c>
      <c r="B1283" s="8" t="n">
        <v>14.25</v>
      </c>
      <c r="C1283" s="7" t="n">
        <f aca="false">((1+B1283/100)^(1/12)-1)*100</f>
        <v>1.11634214168019</v>
      </c>
    </row>
    <row r="1284" customFormat="false" ht="15" hidden="false" customHeight="false" outlineLevel="0" collapsed="false">
      <c r="A1284" s="6" t="s">
        <v>882</v>
      </c>
      <c r="B1284" s="8" t="n">
        <v>14.25</v>
      </c>
      <c r="C1284" s="7" t="n">
        <f aca="false">((1+B1284/100)^(1/12)-1)*100</f>
        <v>1.11634214168019</v>
      </c>
    </row>
    <row r="1285" customFormat="false" ht="15" hidden="false" customHeight="false" outlineLevel="0" collapsed="false">
      <c r="A1285" s="6" t="s">
        <v>883</v>
      </c>
      <c r="B1285" s="8" t="n">
        <v>14.25</v>
      </c>
      <c r="C1285" s="7" t="n">
        <f aca="false">((1+B1285/100)^(1/12)-1)*100</f>
        <v>1.11634214168019</v>
      </c>
    </row>
    <row r="1286" customFormat="false" ht="15" hidden="false" customHeight="false" outlineLevel="0" collapsed="false">
      <c r="A1286" s="6" t="s">
        <v>884</v>
      </c>
      <c r="B1286" s="8" t="n">
        <v>14.25</v>
      </c>
      <c r="C1286" s="7" t="n">
        <f aca="false">((1+B1286/100)^(1/12)-1)*100</f>
        <v>1.11634214168019</v>
      </c>
    </row>
    <row r="1287" customFormat="false" ht="15" hidden="false" customHeight="false" outlineLevel="0" collapsed="false">
      <c r="A1287" s="6" t="s">
        <v>885</v>
      </c>
      <c r="B1287" s="8" t="n">
        <v>14.25</v>
      </c>
      <c r="C1287" s="7" t="n">
        <f aca="false">((1+B1287/100)^(1/12)-1)*100</f>
        <v>1.11634214168019</v>
      </c>
    </row>
    <row r="1288" customFormat="false" ht="15" hidden="false" customHeight="false" outlineLevel="0" collapsed="false">
      <c r="A1288" s="6" t="s">
        <v>1332</v>
      </c>
      <c r="B1288" s="8" t="n">
        <v>14.25</v>
      </c>
      <c r="C1288" s="7" t="n">
        <f aca="false">((1+B1288/100)^(1/12)-1)*100</f>
        <v>1.11634214168019</v>
      </c>
    </row>
    <row r="1289" customFormat="false" ht="15" hidden="false" customHeight="false" outlineLevel="0" collapsed="false">
      <c r="A1289" s="6" t="s">
        <v>1333</v>
      </c>
      <c r="B1289" s="8" t="n">
        <v>14.25</v>
      </c>
      <c r="C1289" s="7" t="n">
        <f aca="false">((1+B1289/100)^(1/12)-1)*100</f>
        <v>1.11634214168019</v>
      </c>
    </row>
    <row r="1290" customFormat="false" ht="15" hidden="false" customHeight="false" outlineLevel="0" collapsed="false">
      <c r="A1290" s="6" t="s">
        <v>886</v>
      </c>
      <c r="B1290" s="8" t="n">
        <v>14.25</v>
      </c>
      <c r="C1290" s="7" t="n">
        <f aca="false">((1+B1290/100)^(1/12)-1)*100</f>
        <v>1.11634214168019</v>
      </c>
    </row>
    <row r="1291" customFormat="false" ht="15" hidden="false" customHeight="false" outlineLevel="0" collapsed="false">
      <c r="A1291" s="6" t="s">
        <v>887</v>
      </c>
      <c r="B1291" s="8" t="n">
        <v>14.25</v>
      </c>
      <c r="C1291" s="7" t="n">
        <f aca="false">((1+B1291/100)^(1/12)-1)*100</f>
        <v>1.11634214168019</v>
      </c>
    </row>
    <row r="1292" customFormat="false" ht="15" hidden="false" customHeight="false" outlineLevel="0" collapsed="false">
      <c r="A1292" s="6" t="s">
        <v>888</v>
      </c>
      <c r="B1292" s="8" t="n">
        <v>14.25</v>
      </c>
      <c r="C1292" s="7" t="n">
        <f aca="false">((1+B1292/100)^(1/12)-1)*100</f>
        <v>1.11634214168019</v>
      </c>
    </row>
    <row r="1293" customFormat="false" ht="15" hidden="false" customHeight="false" outlineLevel="0" collapsed="false">
      <c r="A1293" s="6" t="s">
        <v>889</v>
      </c>
      <c r="B1293" s="8" t="n">
        <v>14.25</v>
      </c>
      <c r="C1293" s="7" t="n">
        <f aca="false">((1+B1293/100)^(1/12)-1)*100</f>
        <v>1.11634214168019</v>
      </c>
    </row>
    <row r="1294" customFormat="false" ht="15" hidden="false" customHeight="false" outlineLevel="0" collapsed="false">
      <c r="A1294" s="6" t="s">
        <v>890</v>
      </c>
      <c r="B1294" s="8" t="n">
        <v>14.25</v>
      </c>
      <c r="C1294" s="7" t="n">
        <f aca="false">((1+B1294/100)^(1/12)-1)*100</f>
        <v>1.11634214168019</v>
      </c>
    </row>
    <row r="1295" customFormat="false" ht="15" hidden="false" customHeight="false" outlineLevel="0" collapsed="false">
      <c r="A1295" s="6" t="s">
        <v>1334</v>
      </c>
      <c r="B1295" s="8" t="n">
        <v>14.25</v>
      </c>
      <c r="C1295" s="7" t="n">
        <f aca="false">((1+B1295/100)^(1/12)-1)*100</f>
        <v>1.11634214168019</v>
      </c>
    </row>
    <row r="1296" customFormat="false" ht="15" hidden="false" customHeight="false" outlineLevel="0" collapsed="false">
      <c r="A1296" s="6" t="s">
        <v>1335</v>
      </c>
      <c r="B1296" s="8" t="n">
        <v>14.25</v>
      </c>
      <c r="C1296" s="7" t="n">
        <f aca="false">((1+B1296/100)^(1/12)-1)*100</f>
        <v>1.11634214168019</v>
      </c>
    </row>
    <row r="1297" customFormat="false" ht="15" hidden="false" customHeight="false" outlineLevel="0" collapsed="false">
      <c r="A1297" s="6" t="s">
        <v>891</v>
      </c>
      <c r="B1297" s="8" t="n">
        <v>14.25</v>
      </c>
      <c r="C1297" s="7" t="n">
        <f aca="false">((1+B1297/100)^(1/12)-1)*100</f>
        <v>1.11634214168019</v>
      </c>
    </row>
    <row r="1298" customFormat="false" ht="15" hidden="false" customHeight="false" outlineLevel="0" collapsed="false">
      <c r="A1298" s="6" t="s">
        <v>892</v>
      </c>
      <c r="B1298" s="8" t="n">
        <v>14.25</v>
      </c>
      <c r="C1298" s="7" t="n">
        <f aca="false">((1+B1298/100)^(1/12)-1)*100</f>
        <v>1.11634214168019</v>
      </c>
    </row>
    <row r="1299" customFormat="false" ht="15" hidden="false" customHeight="false" outlineLevel="0" collapsed="false">
      <c r="A1299" s="6" t="s">
        <v>893</v>
      </c>
      <c r="B1299" s="8" t="n">
        <v>14.25</v>
      </c>
      <c r="C1299" s="7" t="n">
        <f aca="false">((1+B1299/100)^(1/12)-1)*100</f>
        <v>1.11634214168019</v>
      </c>
    </row>
    <row r="1300" customFormat="false" ht="15" hidden="false" customHeight="false" outlineLevel="0" collapsed="false">
      <c r="A1300" s="6" t="s">
        <v>894</v>
      </c>
      <c r="B1300" s="8" t="n">
        <v>14.25</v>
      </c>
      <c r="C1300" s="7" t="n">
        <f aca="false">((1+B1300/100)^(1/12)-1)*100</f>
        <v>1.11634214168019</v>
      </c>
    </row>
    <row r="1301" customFormat="false" ht="15" hidden="false" customHeight="false" outlineLevel="0" collapsed="false">
      <c r="A1301" s="6" t="s">
        <v>895</v>
      </c>
      <c r="B1301" s="8" t="n">
        <v>14.25</v>
      </c>
      <c r="C1301" s="7" t="n">
        <f aca="false">((1+B1301/100)^(1/12)-1)*100</f>
        <v>1.11634214168019</v>
      </c>
    </row>
    <row r="1302" customFormat="false" ht="15" hidden="false" customHeight="false" outlineLevel="0" collapsed="false">
      <c r="A1302" s="6" t="s">
        <v>1336</v>
      </c>
      <c r="B1302" s="8" t="n">
        <v>14.25</v>
      </c>
      <c r="C1302" s="7" t="n">
        <f aca="false">((1+B1302/100)^(1/12)-1)*100</f>
        <v>1.11634214168019</v>
      </c>
    </row>
    <row r="1303" customFormat="false" ht="15" hidden="false" customHeight="false" outlineLevel="0" collapsed="false">
      <c r="A1303" s="6" t="s">
        <v>1337</v>
      </c>
      <c r="B1303" s="8" t="n">
        <v>14.25</v>
      </c>
      <c r="C1303" s="7" t="n">
        <f aca="false">((1+B1303/100)^(1/12)-1)*100</f>
        <v>1.11634214168019</v>
      </c>
    </row>
    <row r="1304" customFormat="false" ht="15" hidden="false" customHeight="false" outlineLevel="0" collapsed="false">
      <c r="A1304" s="6" t="s">
        <v>896</v>
      </c>
      <c r="B1304" s="8" t="n">
        <v>14.25</v>
      </c>
      <c r="C1304" s="7" t="n">
        <f aca="false">((1+B1304/100)^(1/12)-1)*100</f>
        <v>1.11634214168019</v>
      </c>
    </row>
    <row r="1305" customFormat="false" ht="15" hidden="false" customHeight="false" outlineLevel="0" collapsed="false">
      <c r="A1305" s="6" t="s">
        <v>897</v>
      </c>
      <c r="B1305" s="8" t="n">
        <v>14.25</v>
      </c>
      <c r="C1305" s="7" t="n">
        <f aca="false">((1+B1305/100)^(1/12)-1)*100</f>
        <v>1.11634214168019</v>
      </c>
    </row>
    <row r="1306" customFormat="false" ht="15" hidden="false" customHeight="false" outlineLevel="0" collapsed="false">
      <c r="A1306" s="6" t="s">
        <v>898</v>
      </c>
      <c r="B1306" s="8" t="n">
        <v>14.25</v>
      </c>
      <c r="C1306" s="7" t="n">
        <f aca="false">((1+B1306/100)^(1/12)-1)*100</f>
        <v>1.11634214168019</v>
      </c>
    </row>
    <row r="1307" customFormat="false" ht="15" hidden="false" customHeight="false" outlineLevel="0" collapsed="false">
      <c r="A1307" s="6" t="s">
        <v>899</v>
      </c>
      <c r="B1307" s="8" t="n">
        <v>14.25</v>
      </c>
      <c r="C1307" s="7" t="n">
        <f aca="false">((1+B1307/100)^(1/12)-1)*100</f>
        <v>1.11634214168019</v>
      </c>
    </row>
    <row r="1308" customFormat="false" ht="15" hidden="false" customHeight="false" outlineLevel="0" collapsed="false">
      <c r="A1308" s="6" t="s">
        <v>900</v>
      </c>
      <c r="B1308" s="8" t="n">
        <v>14.25</v>
      </c>
      <c r="C1308" s="7" t="n">
        <f aca="false">((1+B1308/100)^(1/12)-1)*100</f>
        <v>1.11634214168019</v>
      </c>
    </row>
    <row r="1309" customFormat="false" ht="15" hidden="false" customHeight="false" outlineLevel="0" collapsed="false">
      <c r="A1309" s="6" t="s">
        <v>1338</v>
      </c>
      <c r="B1309" s="8" t="n">
        <v>14.25</v>
      </c>
      <c r="C1309" s="7" t="n">
        <f aca="false">((1+B1309/100)^(1/12)-1)*100</f>
        <v>1.11634214168019</v>
      </c>
    </row>
    <row r="1310" customFormat="false" ht="15" hidden="false" customHeight="false" outlineLevel="0" collapsed="false">
      <c r="A1310" s="6" t="s">
        <v>1339</v>
      </c>
      <c r="B1310" s="8" t="n">
        <v>14.25</v>
      </c>
      <c r="C1310" s="7" t="n">
        <f aca="false">((1+B1310/100)^(1/12)-1)*100</f>
        <v>1.11634214168019</v>
      </c>
    </row>
    <row r="1311" customFormat="false" ht="15" hidden="false" customHeight="false" outlineLevel="0" collapsed="false">
      <c r="A1311" s="6" t="s">
        <v>901</v>
      </c>
      <c r="B1311" s="8" t="n">
        <v>14.25</v>
      </c>
      <c r="C1311" s="7" t="n">
        <f aca="false">((1+B1311/100)^(1/12)-1)*100</f>
        <v>1.11634214168019</v>
      </c>
    </row>
    <row r="1312" customFormat="false" ht="15" hidden="false" customHeight="false" outlineLevel="0" collapsed="false">
      <c r="A1312" s="6" t="s">
        <v>902</v>
      </c>
      <c r="B1312" s="8" t="n">
        <v>14.25</v>
      </c>
      <c r="C1312" s="7" t="n">
        <f aca="false">((1+B1312/100)^(1/12)-1)*100</f>
        <v>1.11634214168019</v>
      </c>
    </row>
    <row r="1313" customFormat="false" ht="15" hidden="false" customHeight="false" outlineLevel="0" collapsed="false">
      <c r="A1313" s="6" t="s">
        <v>903</v>
      </c>
      <c r="B1313" s="8" t="n">
        <v>14.25</v>
      </c>
      <c r="C1313" s="7" t="n">
        <f aca="false">((1+B1313/100)^(1/12)-1)*100</f>
        <v>1.11634214168019</v>
      </c>
    </row>
    <row r="1314" customFormat="false" ht="15" hidden="false" customHeight="false" outlineLevel="0" collapsed="false">
      <c r="A1314" s="6" t="s">
        <v>904</v>
      </c>
      <c r="B1314" s="8" t="n">
        <v>14.25</v>
      </c>
      <c r="C1314" s="7" t="n">
        <f aca="false">((1+B1314/100)^(1/12)-1)*100</f>
        <v>1.11634214168019</v>
      </c>
    </row>
    <row r="1315" customFormat="false" ht="15" hidden="false" customHeight="false" outlineLevel="0" collapsed="false">
      <c r="A1315" s="6" t="s">
        <v>905</v>
      </c>
      <c r="B1315" s="8" t="n">
        <v>14.25</v>
      </c>
      <c r="C1315" s="7" t="n">
        <f aca="false">((1+B1315/100)^(1/12)-1)*100</f>
        <v>1.11634214168019</v>
      </c>
    </row>
    <row r="1316" customFormat="false" ht="15" hidden="false" customHeight="false" outlineLevel="0" collapsed="false">
      <c r="A1316" s="6" t="s">
        <v>1340</v>
      </c>
      <c r="B1316" s="8" t="n">
        <v>14.25</v>
      </c>
      <c r="C1316" s="7" t="n">
        <f aca="false">((1+B1316/100)^(1/12)-1)*100</f>
        <v>1.11634214168019</v>
      </c>
    </row>
    <row r="1317" customFormat="false" ht="15" hidden="false" customHeight="false" outlineLevel="0" collapsed="false">
      <c r="A1317" s="6" t="s">
        <v>1341</v>
      </c>
      <c r="B1317" s="8" t="n">
        <v>14.25</v>
      </c>
      <c r="C1317" s="7" t="n">
        <f aca="false">((1+B1317/100)^(1/12)-1)*100</f>
        <v>1.11634214168019</v>
      </c>
    </row>
    <row r="1318" customFormat="false" ht="15" hidden="false" customHeight="false" outlineLevel="0" collapsed="false">
      <c r="A1318" s="6" t="s">
        <v>906</v>
      </c>
      <c r="B1318" s="8" t="n">
        <v>14.25</v>
      </c>
      <c r="C1318" s="7" t="n">
        <f aca="false">((1+B1318/100)^(1/12)-1)*100</f>
        <v>1.11634214168019</v>
      </c>
    </row>
    <row r="1319" customFormat="false" ht="15" hidden="false" customHeight="false" outlineLevel="0" collapsed="false">
      <c r="A1319" s="6" t="s">
        <v>907</v>
      </c>
      <c r="B1319" s="8" t="n">
        <v>14.25</v>
      </c>
      <c r="C1319" s="7" t="n">
        <f aca="false">((1+B1319/100)^(1/12)-1)*100</f>
        <v>1.11634214168019</v>
      </c>
    </row>
    <row r="1320" customFormat="false" ht="15" hidden="false" customHeight="false" outlineLevel="0" collapsed="false">
      <c r="A1320" s="6" t="s">
        <v>908</v>
      </c>
      <c r="B1320" s="8" t="n">
        <v>14.25</v>
      </c>
      <c r="C1320" s="7" t="n">
        <f aca="false">((1+B1320/100)^(1/12)-1)*100</f>
        <v>1.11634214168019</v>
      </c>
    </row>
    <row r="1321" customFormat="false" ht="15" hidden="false" customHeight="false" outlineLevel="0" collapsed="false">
      <c r="A1321" s="6" t="s">
        <v>909</v>
      </c>
      <c r="B1321" s="8" t="n">
        <v>14</v>
      </c>
      <c r="C1321" s="7" t="n">
        <f aca="false">((1+B1321/100)^(1/12)-1)*100</f>
        <v>1.09788519501735</v>
      </c>
    </row>
    <row r="1322" customFormat="false" ht="15" hidden="false" customHeight="false" outlineLevel="0" collapsed="false">
      <c r="A1322" s="6" t="s">
        <v>910</v>
      </c>
      <c r="B1322" s="8" t="n">
        <v>14</v>
      </c>
      <c r="C1322" s="7" t="n">
        <f aca="false">((1+B1322/100)^(1/12)-1)*100</f>
        <v>1.09788519501735</v>
      </c>
    </row>
    <row r="1323" customFormat="false" ht="15" hidden="false" customHeight="false" outlineLevel="0" collapsed="false">
      <c r="A1323" s="6" t="s">
        <v>1342</v>
      </c>
      <c r="B1323" s="8" t="n">
        <v>14</v>
      </c>
      <c r="C1323" s="7" t="n">
        <f aca="false">((1+B1323/100)^(1/12)-1)*100</f>
        <v>1.09788519501735</v>
      </c>
    </row>
    <row r="1324" customFormat="false" ht="15" hidden="false" customHeight="false" outlineLevel="0" collapsed="false">
      <c r="A1324" s="6" t="s">
        <v>1343</v>
      </c>
      <c r="B1324" s="8" t="n">
        <v>14</v>
      </c>
      <c r="C1324" s="7" t="n">
        <f aca="false">((1+B1324/100)^(1/12)-1)*100</f>
        <v>1.09788519501735</v>
      </c>
    </row>
    <row r="1325" customFormat="false" ht="15" hidden="false" customHeight="false" outlineLevel="0" collapsed="false">
      <c r="A1325" s="6" t="s">
        <v>911</v>
      </c>
      <c r="B1325" s="8" t="n">
        <v>14</v>
      </c>
      <c r="C1325" s="7" t="n">
        <f aca="false">((1+B1325/100)^(1/12)-1)*100</f>
        <v>1.09788519501735</v>
      </c>
    </row>
    <row r="1326" customFormat="false" ht="15" hidden="false" customHeight="false" outlineLevel="0" collapsed="false">
      <c r="A1326" s="6" t="s">
        <v>912</v>
      </c>
      <c r="B1326" s="8" t="n">
        <v>14</v>
      </c>
      <c r="C1326" s="7" t="n">
        <f aca="false">((1+B1326/100)^(1/12)-1)*100</f>
        <v>1.09788519501735</v>
      </c>
    </row>
    <row r="1327" customFormat="false" ht="15" hidden="false" customHeight="false" outlineLevel="0" collapsed="false">
      <c r="A1327" s="6" t="s">
        <v>913</v>
      </c>
      <c r="B1327" s="8" t="n">
        <v>14</v>
      </c>
      <c r="C1327" s="7" t="n">
        <f aca="false">((1+B1327/100)^(1/12)-1)*100</f>
        <v>1.09788519501735</v>
      </c>
    </row>
    <row r="1328" customFormat="false" ht="15" hidden="false" customHeight="false" outlineLevel="0" collapsed="false">
      <c r="A1328" s="6" t="s">
        <v>914</v>
      </c>
      <c r="B1328" s="8" t="n">
        <v>14</v>
      </c>
      <c r="C1328" s="7" t="n">
        <f aca="false">((1+B1328/100)^(1/12)-1)*100</f>
        <v>1.09788519501735</v>
      </c>
    </row>
    <row r="1329" customFormat="false" ht="15" hidden="false" customHeight="false" outlineLevel="0" collapsed="false">
      <c r="A1329" s="6" t="s">
        <v>915</v>
      </c>
      <c r="B1329" s="8" t="n">
        <v>14</v>
      </c>
      <c r="C1329" s="7" t="n">
        <f aca="false">((1+B1329/100)^(1/12)-1)*100</f>
        <v>1.09788519501735</v>
      </c>
    </row>
    <row r="1330" customFormat="false" ht="15" hidden="false" customHeight="false" outlineLevel="0" collapsed="false">
      <c r="A1330" s="6" t="s">
        <v>1344</v>
      </c>
      <c r="B1330" s="8" t="n">
        <v>14</v>
      </c>
      <c r="C1330" s="7" t="n">
        <f aca="false">((1+B1330/100)^(1/12)-1)*100</f>
        <v>1.09788519501735</v>
      </c>
    </row>
    <row r="1331" customFormat="false" ht="15" hidden="false" customHeight="false" outlineLevel="0" collapsed="false">
      <c r="A1331" s="6" t="s">
        <v>1345</v>
      </c>
      <c r="B1331" s="8" t="n">
        <v>14</v>
      </c>
      <c r="C1331" s="7" t="n">
        <f aca="false">((1+B1331/100)^(1/12)-1)*100</f>
        <v>1.09788519501735</v>
      </c>
    </row>
    <row r="1332" customFormat="false" ht="15" hidden="false" customHeight="false" outlineLevel="0" collapsed="false">
      <c r="A1332" s="6" t="s">
        <v>916</v>
      </c>
      <c r="B1332" s="8" t="n">
        <v>14</v>
      </c>
      <c r="C1332" s="7" t="n">
        <f aca="false">((1+B1332/100)^(1/12)-1)*100</f>
        <v>1.09788519501735</v>
      </c>
    </row>
    <row r="1333" customFormat="false" ht="15" hidden="false" customHeight="false" outlineLevel="0" collapsed="false">
      <c r="A1333" s="6" t="s">
        <v>917</v>
      </c>
      <c r="B1333" s="8" t="n">
        <v>14</v>
      </c>
      <c r="C1333" s="7" t="n">
        <f aca="false">((1+B1333/100)^(1/12)-1)*100</f>
        <v>1.09788519501735</v>
      </c>
    </row>
    <row r="1334" customFormat="false" ht="15" hidden="false" customHeight="false" outlineLevel="0" collapsed="false">
      <c r="A1334" s="6" t="s">
        <v>918</v>
      </c>
      <c r="B1334" s="8" t="n">
        <v>14</v>
      </c>
      <c r="C1334" s="7" t="n">
        <f aca="false">((1+B1334/100)^(1/12)-1)*100</f>
        <v>1.09788519501735</v>
      </c>
    </row>
    <row r="1335" customFormat="false" ht="15" hidden="false" customHeight="false" outlineLevel="0" collapsed="false">
      <c r="A1335" s="6" t="s">
        <v>919</v>
      </c>
      <c r="B1335" s="8" t="n">
        <v>14</v>
      </c>
      <c r="C1335" s="7" t="n">
        <f aca="false">((1+B1335/100)^(1/12)-1)*100</f>
        <v>1.09788519501735</v>
      </c>
    </row>
    <row r="1336" customFormat="false" ht="15" hidden="false" customHeight="false" outlineLevel="0" collapsed="false">
      <c r="A1336" s="6" t="s">
        <v>920</v>
      </c>
      <c r="B1336" s="8" t="n">
        <v>14</v>
      </c>
      <c r="C1336" s="7" t="n">
        <f aca="false">((1+B1336/100)^(1/12)-1)*100</f>
        <v>1.09788519501735</v>
      </c>
    </row>
    <row r="1337" customFormat="false" ht="15" hidden="false" customHeight="false" outlineLevel="0" collapsed="false">
      <c r="A1337" s="6" t="s">
        <v>1346</v>
      </c>
      <c r="B1337" s="8" t="n">
        <v>14</v>
      </c>
      <c r="C1337" s="7" t="n">
        <f aca="false">((1+B1337/100)^(1/12)-1)*100</f>
        <v>1.09788519501735</v>
      </c>
    </row>
    <row r="1338" customFormat="false" ht="15" hidden="false" customHeight="false" outlineLevel="0" collapsed="false">
      <c r="A1338" s="6" t="s">
        <v>1347</v>
      </c>
      <c r="B1338" s="8" t="n">
        <v>14</v>
      </c>
      <c r="C1338" s="7" t="n">
        <f aca="false">((1+B1338/100)^(1/12)-1)*100</f>
        <v>1.09788519501735</v>
      </c>
    </row>
    <row r="1339" customFormat="false" ht="15" hidden="false" customHeight="false" outlineLevel="0" collapsed="false">
      <c r="A1339" s="6" t="s">
        <v>921</v>
      </c>
      <c r="B1339" s="8" t="n">
        <v>14</v>
      </c>
      <c r="C1339" s="7" t="n">
        <f aca="false">((1+B1339/100)^(1/12)-1)*100</f>
        <v>1.09788519501735</v>
      </c>
    </row>
    <row r="1340" customFormat="false" ht="15" hidden="false" customHeight="false" outlineLevel="0" collapsed="false">
      <c r="A1340" s="6" t="s">
        <v>922</v>
      </c>
      <c r="B1340" s="8" t="n">
        <v>14</v>
      </c>
      <c r="C1340" s="7" t="n">
        <f aca="false">((1+B1340/100)^(1/12)-1)*100</f>
        <v>1.09788519501735</v>
      </c>
    </row>
    <row r="1341" customFormat="false" ht="15" hidden="false" customHeight="false" outlineLevel="0" collapsed="false">
      <c r="A1341" s="6" t="s">
        <v>923</v>
      </c>
      <c r="B1341" s="8" t="n">
        <v>14</v>
      </c>
      <c r="C1341" s="7" t="n">
        <f aca="false">((1+B1341/100)^(1/12)-1)*100</f>
        <v>1.09788519501735</v>
      </c>
    </row>
    <row r="1342" customFormat="false" ht="15" hidden="false" customHeight="false" outlineLevel="0" collapsed="false">
      <c r="A1342" s="6" t="s">
        <v>924</v>
      </c>
      <c r="B1342" s="8" t="n">
        <v>14</v>
      </c>
      <c r="C1342" s="7" t="n">
        <f aca="false">((1+B1342/100)^(1/12)-1)*100</f>
        <v>1.09788519501735</v>
      </c>
    </row>
    <row r="1343" customFormat="false" ht="15" hidden="false" customHeight="false" outlineLevel="0" collapsed="false">
      <c r="A1343" s="6" t="s">
        <v>925</v>
      </c>
      <c r="B1343" s="8" t="n">
        <v>14</v>
      </c>
      <c r="C1343" s="7" t="n">
        <f aca="false">((1+B1343/100)^(1/12)-1)*100</f>
        <v>1.09788519501735</v>
      </c>
    </row>
    <row r="1344" customFormat="false" ht="15" hidden="false" customHeight="false" outlineLevel="0" collapsed="false">
      <c r="A1344" s="6" t="s">
        <v>1348</v>
      </c>
      <c r="B1344" s="8" t="n">
        <v>14</v>
      </c>
      <c r="C1344" s="7" t="n">
        <f aca="false">((1+B1344/100)^(1/12)-1)*100</f>
        <v>1.09788519501735</v>
      </c>
    </row>
    <row r="1345" customFormat="false" ht="15" hidden="false" customHeight="false" outlineLevel="0" collapsed="false">
      <c r="A1345" s="6" t="s">
        <v>1349</v>
      </c>
      <c r="B1345" s="8" t="n">
        <v>14</v>
      </c>
      <c r="C1345" s="7" t="n">
        <f aca="false">((1+B1345/100)^(1/12)-1)*100</f>
        <v>1.09788519501735</v>
      </c>
    </row>
    <row r="1346" customFormat="false" ht="15" hidden="false" customHeight="false" outlineLevel="0" collapsed="false">
      <c r="A1346" s="6" t="s">
        <v>926</v>
      </c>
      <c r="B1346" s="8" t="n">
        <v>14</v>
      </c>
      <c r="C1346" s="7" t="n">
        <f aca="false">((1+B1346/100)^(1/12)-1)*100</f>
        <v>1.09788519501735</v>
      </c>
    </row>
    <row r="1347" customFormat="false" ht="15" hidden="false" customHeight="false" outlineLevel="0" collapsed="false">
      <c r="A1347" s="6" t="s">
        <v>927</v>
      </c>
      <c r="B1347" s="8" t="n">
        <v>14</v>
      </c>
      <c r="C1347" s="7" t="n">
        <f aca="false">((1+B1347/100)^(1/12)-1)*100</f>
        <v>1.09788519501735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5" min="5" style="0" width="14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1350</v>
      </c>
    </row>
    <row r="2" customFormat="false" ht="15" hidden="false" customHeight="false" outlineLevel="0" collapsed="false">
      <c r="A2" s="2" t="s">
        <v>1351</v>
      </c>
    </row>
    <row r="4" customFormat="false" ht="15" hidden="false" customHeight="false" outlineLevel="0" collapsed="false">
      <c r="A4" s="3" t="s">
        <v>1352</v>
      </c>
      <c r="C4" s="9" t="n">
        <f aca="false">AVERAGE(B8:B51)</f>
        <v>0.375454545454545</v>
      </c>
    </row>
    <row r="5" customFormat="false" ht="15" hidden="false" customHeight="false" outlineLevel="0" collapsed="false">
      <c r="A5" s="3" t="s">
        <v>1353</v>
      </c>
      <c r="C5" s="9" t="n">
        <f aca="false">((1.06)^(1/12)-1)*100</f>
        <v>0.486755056534305</v>
      </c>
      <c r="E5" s="3" t="s">
        <v>1354</v>
      </c>
      <c r="H5" s="4" t="n">
        <f aca="false">_xlfn.STDEV.S(B8:B51)</f>
        <v>0.296722049450359</v>
      </c>
    </row>
    <row r="6" customFormat="false" ht="15" hidden="false" customHeight="false" outlineLevel="0" collapsed="false">
      <c r="A6" s="3" t="s">
        <v>1355</v>
      </c>
      <c r="C6" s="4" t="n">
        <f aca="false">C4+C5</f>
        <v>0.86220960198885</v>
      </c>
    </row>
    <row r="7" customFormat="false" ht="15" hidden="false" customHeight="false" outlineLevel="0" collapsed="false">
      <c r="A7" s="5" t="s">
        <v>4</v>
      </c>
      <c r="B7" s="5" t="s">
        <v>1356</v>
      </c>
    </row>
    <row r="8" customFormat="false" ht="15" hidden="false" customHeight="false" outlineLevel="0" collapsed="false">
      <c r="A8" s="6" t="s">
        <v>931</v>
      </c>
      <c r="B8" s="8" t="n">
        <v>0.53</v>
      </c>
    </row>
    <row r="9" customFormat="false" ht="15" hidden="false" customHeight="false" outlineLevel="0" collapsed="false">
      <c r="A9" s="6" t="s">
        <v>29</v>
      </c>
      <c r="B9" s="8" t="n">
        <v>0.84</v>
      </c>
    </row>
    <row r="10" customFormat="false" ht="15" hidden="false" customHeight="false" outlineLevel="0" collapsed="false">
      <c r="A10" s="6" t="s">
        <v>47</v>
      </c>
      <c r="B10" s="8" t="n">
        <v>0.71</v>
      </c>
    </row>
    <row r="11" customFormat="false" ht="15" hidden="false" customHeight="false" outlineLevel="0" collapsed="false">
      <c r="A11" s="6" t="s">
        <v>958</v>
      </c>
      <c r="B11" s="8" t="n">
        <v>0.61</v>
      </c>
    </row>
    <row r="12" customFormat="false" ht="15" hidden="false" customHeight="false" outlineLevel="0" collapsed="false">
      <c r="A12" s="6" t="s">
        <v>970</v>
      </c>
      <c r="B12" s="8" t="n">
        <v>0.23</v>
      </c>
    </row>
    <row r="13" customFormat="false" ht="15" hidden="false" customHeight="false" outlineLevel="0" collapsed="false">
      <c r="A13" s="6" t="s">
        <v>110</v>
      </c>
      <c r="B13" s="8" t="n">
        <v>-0.08</v>
      </c>
    </row>
    <row r="14" customFormat="false" ht="15" hidden="false" customHeight="false" outlineLevel="0" collapsed="false">
      <c r="A14" s="6" t="s">
        <v>988</v>
      </c>
      <c r="B14" s="8" t="n">
        <v>0.12</v>
      </c>
    </row>
    <row r="15" customFormat="false" ht="15" hidden="false" customHeight="false" outlineLevel="0" collapsed="false">
      <c r="A15" s="6" t="s">
        <v>152</v>
      </c>
      <c r="B15" s="8" t="n">
        <v>0.23</v>
      </c>
    </row>
    <row r="16" customFormat="false" ht="15" hidden="false" customHeight="false" outlineLevel="0" collapsed="false">
      <c r="A16" s="6" t="s">
        <v>175</v>
      </c>
      <c r="B16" s="8" t="n">
        <v>0.26</v>
      </c>
    </row>
    <row r="17" customFormat="false" ht="15" hidden="false" customHeight="false" outlineLevel="0" collapsed="false">
      <c r="A17" s="6" t="s">
        <v>1016</v>
      </c>
      <c r="B17" s="8" t="n">
        <v>0.24</v>
      </c>
    </row>
    <row r="18" customFormat="false" ht="15" hidden="false" customHeight="false" outlineLevel="0" collapsed="false">
      <c r="A18" s="6" t="s">
        <v>216</v>
      </c>
      <c r="B18" s="8" t="n">
        <v>0.28</v>
      </c>
    </row>
    <row r="19" customFormat="false" ht="15" hidden="false" customHeight="false" outlineLevel="0" collapsed="false">
      <c r="A19" s="6" t="s">
        <v>236</v>
      </c>
      <c r="B19" s="8" t="n">
        <v>0.56</v>
      </c>
    </row>
    <row r="20" customFormat="false" ht="15" hidden="false" customHeight="false" outlineLevel="0" collapsed="false">
      <c r="A20" s="6" t="s">
        <v>1047</v>
      </c>
      <c r="B20" s="8" t="n">
        <v>0.42</v>
      </c>
    </row>
    <row r="21" customFormat="false" ht="15" hidden="false" customHeight="false" outlineLevel="0" collapsed="false">
      <c r="A21" s="6" t="s">
        <v>278</v>
      </c>
      <c r="B21" s="8" t="n">
        <v>0.83</v>
      </c>
    </row>
    <row r="22" customFormat="false" ht="15" hidden="false" customHeight="false" outlineLevel="0" collapsed="false">
      <c r="A22" s="6" t="s">
        <v>297</v>
      </c>
      <c r="B22" s="8" t="n">
        <v>0.16</v>
      </c>
    </row>
    <row r="23" customFormat="false" ht="15" hidden="false" customHeight="false" outlineLevel="0" collapsed="false">
      <c r="A23" s="6" t="s">
        <v>317</v>
      </c>
      <c r="B23" s="8" t="n">
        <v>0.38</v>
      </c>
    </row>
    <row r="24" customFormat="false" ht="15" hidden="false" customHeight="false" outlineLevel="0" collapsed="false">
      <c r="A24" s="6" t="s">
        <v>1085</v>
      </c>
      <c r="B24" s="8" t="n">
        <v>0.46</v>
      </c>
    </row>
    <row r="25" customFormat="false" ht="15" hidden="false" customHeight="false" outlineLevel="0" collapsed="false">
      <c r="A25" s="6" t="s">
        <v>1095</v>
      </c>
      <c r="B25" s="8" t="n">
        <v>0.21</v>
      </c>
    </row>
    <row r="26" customFormat="false" ht="15" hidden="false" customHeight="false" outlineLevel="0" collapsed="false">
      <c r="A26" s="6" t="s">
        <v>380</v>
      </c>
      <c r="B26" s="8" t="n">
        <v>0.38</v>
      </c>
    </row>
    <row r="27" customFormat="false" ht="15" hidden="false" customHeight="false" outlineLevel="0" collapsed="false">
      <c r="A27" s="6" t="s">
        <v>403</v>
      </c>
      <c r="B27" s="8" t="n">
        <v>-0.02</v>
      </c>
    </row>
    <row r="28" customFormat="false" ht="15" hidden="false" customHeight="false" outlineLevel="0" collapsed="false">
      <c r="A28" s="6" t="s">
        <v>1122</v>
      </c>
      <c r="B28" s="8" t="n">
        <v>0.44</v>
      </c>
    </row>
    <row r="29" customFormat="false" ht="15" hidden="false" customHeight="false" outlineLevel="0" collapsed="false">
      <c r="A29" s="6" t="s">
        <v>446</v>
      </c>
      <c r="B29" s="8" t="n">
        <v>0.56</v>
      </c>
    </row>
    <row r="30" customFormat="false" ht="15" hidden="false" customHeight="false" outlineLevel="0" collapsed="false">
      <c r="A30" s="6" t="s">
        <v>469</v>
      </c>
      <c r="B30" s="8" t="n">
        <v>0.39</v>
      </c>
    </row>
    <row r="31" customFormat="false" ht="15" hidden="false" customHeight="false" outlineLevel="0" collapsed="false">
      <c r="A31" s="6" t="s">
        <v>1150</v>
      </c>
      <c r="B31" s="8" t="n">
        <v>0.52</v>
      </c>
    </row>
    <row r="32" customFormat="false" ht="15" hidden="false" customHeight="false" outlineLevel="0" collapsed="false">
      <c r="A32" s="6" t="s">
        <v>1160</v>
      </c>
      <c r="B32" s="8" t="n">
        <v>0.16</v>
      </c>
    </row>
    <row r="33" customFormat="false" ht="15" hidden="false" customHeight="false" outlineLevel="0" collapsed="false">
      <c r="A33" s="6" t="s">
        <v>1169</v>
      </c>
      <c r="B33" s="8" t="n">
        <v>1.31</v>
      </c>
    </row>
    <row r="34" customFormat="false" ht="15" hidden="false" customHeight="false" outlineLevel="0" collapsed="false">
      <c r="A34" s="6" t="s">
        <v>1177</v>
      </c>
      <c r="B34" s="8" t="n">
        <v>0.56</v>
      </c>
    </row>
    <row r="35" customFormat="false" ht="15" hidden="false" customHeight="false" outlineLevel="0" collapsed="false">
      <c r="A35" s="6" t="s">
        <v>570</v>
      </c>
      <c r="B35" s="8" t="n">
        <v>0.43</v>
      </c>
    </row>
    <row r="36" customFormat="false" ht="15" hidden="false" customHeight="false" outlineLevel="0" collapsed="false">
      <c r="A36" s="6" t="s">
        <v>1199</v>
      </c>
      <c r="B36" s="8" t="n">
        <v>0.26</v>
      </c>
    </row>
    <row r="37" customFormat="false" ht="15" hidden="false" customHeight="false" outlineLevel="0" collapsed="false">
      <c r="A37" s="6" t="s">
        <v>1209</v>
      </c>
      <c r="B37" s="8" t="n">
        <v>0.24</v>
      </c>
    </row>
    <row r="38" customFormat="false" ht="15" hidden="false" customHeight="false" outlineLevel="0" collapsed="false">
      <c r="A38" s="6" t="s">
        <v>631</v>
      </c>
      <c r="B38" s="8" t="n">
        <v>0.26</v>
      </c>
    </row>
    <row r="39" customFormat="false" ht="15" hidden="false" customHeight="false" outlineLevel="0" collapsed="false">
      <c r="A39" s="6" t="s">
        <v>654</v>
      </c>
      <c r="B39" s="8" t="n">
        <v>-0.11</v>
      </c>
    </row>
    <row r="40" customFormat="false" ht="15" hidden="false" customHeight="false" outlineLevel="0" collapsed="false">
      <c r="A40" s="6" t="s">
        <v>675</v>
      </c>
      <c r="B40" s="8" t="n">
        <v>0.48</v>
      </c>
    </row>
    <row r="41" customFormat="false" ht="15" hidden="false" customHeight="false" outlineLevel="0" collapsed="false">
      <c r="A41" s="6" t="s">
        <v>697</v>
      </c>
      <c r="B41" s="8" t="n">
        <v>0.09</v>
      </c>
    </row>
    <row r="42" customFormat="false" ht="15" hidden="false" customHeight="false" outlineLevel="0" collapsed="false">
      <c r="A42" s="6" t="s">
        <v>1253</v>
      </c>
      <c r="B42" s="8" t="n">
        <v>0.18</v>
      </c>
    </row>
    <row r="43" customFormat="false" ht="15" hidden="false" customHeight="false" outlineLevel="0" collapsed="false">
      <c r="A43" s="6" t="s">
        <v>739</v>
      </c>
      <c r="B43" s="8" t="n">
        <v>0.33</v>
      </c>
    </row>
    <row r="44" customFormat="false" ht="15" hidden="false" customHeight="false" outlineLevel="0" collapsed="false">
      <c r="A44" s="6" t="s">
        <v>1273</v>
      </c>
      <c r="B44" s="8" t="n">
        <v>0.33</v>
      </c>
    </row>
    <row r="45" customFormat="false" ht="15" hidden="false" customHeight="false" outlineLevel="0" collapsed="false">
      <c r="A45" s="6" t="s">
        <v>1283</v>
      </c>
      <c r="B45" s="8" t="n">
        <v>0.7</v>
      </c>
    </row>
    <row r="46" customFormat="false" ht="15" hidden="false" customHeight="false" outlineLevel="0" collapsed="false">
      <c r="A46" s="6" t="s">
        <v>1293</v>
      </c>
      <c r="B46" s="8" t="n">
        <v>0.88</v>
      </c>
    </row>
    <row r="47" customFormat="false" ht="15" hidden="false" customHeight="false" outlineLevel="0" collapsed="false">
      <c r="A47" s="6" t="s">
        <v>822</v>
      </c>
      <c r="B47" s="8" t="n">
        <v>0.67</v>
      </c>
    </row>
    <row r="48" customFormat="false" ht="15" hidden="false" customHeight="false" outlineLevel="0" collapsed="false">
      <c r="A48" s="6" t="s">
        <v>1312</v>
      </c>
      <c r="B48" s="8" t="n">
        <v>0.58</v>
      </c>
    </row>
    <row r="49" customFormat="false" ht="15" hidden="false" customHeight="false" outlineLevel="0" collapsed="false">
      <c r="A49" s="6" t="s">
        <v>862</v>
      </c>
      <c r="B49" s="8" t="n">
        <v>0.16</v>
      </c>
    </row>
    <row r="50" customFormat="false" ht="15" hidden="false" customHeight="false" outlineLevel="0" collapsed="false">
      <c r="A50" s="6" t="s">
        <v>883</v>
      </c>
      <c r="B50" s="8" t="n">
        <v>0.07</v>
      </c>
    </row>
    <row r="51" customFormat="false" ht="15" hidden="false" customHeight="false" outlineLevel="0" collapsed="false">
      <c r="A51" s="6" t="s">
        <v>1340</v>
      </c>
      <c r="B51" s="8" t="n">
        <v>-0.32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5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1357</v>
      </c>
    </row>
    <row r="2" customFormat="false" ht="15" hidden="false" customHeight="false" outlineLevel="0" collapsed="false">
      <c r="A2" s="2" t="s">
        <v>1358</v>
      </c>
    </row>
    <row r="4" customFormat="false" ht="15" hidden="false" customHeight="false" outlineLevel="0" collapsed="false">
      <c r="A4" s="3" t="s">
        <v>1359</v>
      </c>
      <c r="C4" s="9" t="n">
        <f aca="false">AVERAGE(C9:C928)</f>
        <v>-0.00154977687369258</v>
      </c>
      <c r="E4" s="3" t="s">
        <v>1360</v>
      </c>
      <c r="H4" s="4" t="n">
        <f aca="false">C4*21</f>
        <v>-0.0325453143475442</v>
      </c>
    </row>
    <row r="5" customFormat="false" ht="15" hidden="false" customHeight="false" outlineLevel="0" collapsed="false">
      <c r="A5" s="3" t="s">
        <v>1361</v>
      </c>
      <c r="C5" s="9" t="n">
        <f aca="false">_xlfn.STDEV.S(C9:C928)</f>
        <v>0.680919765484684</v>
      </c>
      <c r="E5" s="3" t="s">
        <v>1362</v>
      </c>
      <c r="H5" s="4" t="n">
        <f aca="false">C5*SQRT(21)</f>
        <v>3.12036636752514</v>
      </c>
    </row>
    <row r="7" customFormat="false" ht="15" hidden="false" customHeight="false" outlineLevel="0" collapsed="false">
      <c r="A7" s="5" t="s">
        <v>4</v>
      </c>
      <c r="B7" s="5" t="s">
        <v>1363</v>
      </c>
      <c r="C7" s="5" t="s">
        <v>1364</v>
      </c>
    </row>
    <row r="8" customFormat="false" ht="15" hidden="false" customHeight="false" outlineLevel="0" collapsed="false">
      <c r="A8" s="6" t="s">
        <v>7</v>
      </c>
      <c r="B8" s="10" t="n">
        <v>5.3436</v>
      </c>
      <c r="C8" s="6" t="s">
        <v>1365</v>
      </c>
    </row>
    <row r="9" customFormat="false" ht="15" hidden="false" customHeight="false" outlineLevel="0" collapsed="false">
      <c r="A9" s="6" t="s">
        <v>8</v>
      </c>
      <c r="B9" s="10" t="n">
        <v>5.3759</v>
      </c>
      <c r="C9" s="7" t="n">
        <f aca="false">(B9-B8)/B8*100</f>
        <v>0.604461411782306</v>
      </c>
    </row>
    <row r="10" customFormat="false" ht="15" hidden="false" customHeight="false" outlineLevel="0" collapsed="false">
      <c r="A10" s="6" t="s">
        <v>9</v>
      </c>
      <c r="B10" s="10" t="n">
        <v>5.4459</v>
      </c>
      <c r="C10" s="7" t="n">
        <f aca="false">(B10-B9)/B9*100</f>
        <v>1.30210755408397</v>
      </c>
    </row>
    <row r="11" customFormat="false" ht="15" hidden="false" customHeight="false" outlineLevel="0" collapsed="false">
      <c r="A11" s="6" t="s">
        <v>10</v>
      </c>
      <c r="B11" s="10" t="n">
        <v>5.4026</v>
      </c>
      <c r="C11" s="7" t="n">
        <f aca="false">(B11-B10)/B10*100</f>
        <v>-0.795093556620583</v>
      </c>
    </row>
    <row r="12" customFormat="false" ht="15" hidden="false" customHeight="false" outlineLevel="0" collapsed="false">
      <c r="A12" s="6" t="s">
        <v>11</v>
      </c>
      <c r="B12" s="10" t="n">
        <v>5.2855</v>
      </c>
      <c r="C12" s="7" t="n">
        <f aca="false">(B12-B11)/B11*100</f>
        <v>-2.16747491948321</v>
      </c>
    </row>
    <row r="13" customFormat="false" ht="15" hidden="false" customHeight="false" outlineLevel="0" collapsed="false">
      <c r="A13" s="6" t="s">
        <v>12</v>
      </c>
      <c r="B13" s="10" t="n">
        <v>5.2967</v>
      </c>
      <c r="C13" s="7" t="n">
        <f aca="false">(B13-B12)/B12*100</f>
        <v>0.211900482452002</v>
      </c>
    </row>
    <row r="14" customFormat="false" ht="15" hidden="false" customHeight="false" outlineLevel="0" collapsed="false">
      <c r="A14" s="6" t="s">
        <v>13</v>
      </c>
      <c r="B14" s="10" t="n">
        <v>5.2395</v>
      </c>
      <c r="C14" s="7" t="n">
        <f aca="false">(B14-B13)/B13*100</f>
        <v>-1.07991768459608</v>
      </c>
    </row>
    <row r="15" customFormat="false" ht="15" hidden="false" customHeight="false" outlineLevel="0" collapsed="false">
      <c r="A15" s="6" t="s">
        <v>14</v>
      </c>
      <c r="B15" s="10" t="n">
        <v>5.202</v>
      </c>
      <c r="C15" s="7" t="n">
        <f aca="false">(B15-B14)/B14*100</f>
        <v>-0.715717148582873</v>
      </c>
    </row>
    <row r="16" customFormat="false" ht="15" hidden="false" customHeight="false" outlineLevel="0" collapsed="false">
      <c r="A16" s="6" t="s">
        <v>15</v>
      </c>
      <c r="B16" s="10" t="n">
        <v>5.14</v>
      </c>
      <c r="C16" s="7" t="n">
        <f aca="false">(B16-B15)/B15*100</f>
        <v>-1.19184928873511</v>
      </c>
    </row>
    <row r="17" customFormat="false" ht="15" hidden="false" customHeight="false" outlineLevel="0" collapsed="false">
      <c r="A17" s="6" t="s">
        <v>16</v>
      </c>
      <c r="B17" s="10" t="n">
        <v>5.1146</v>
      </c>
      <c r="C17" s="7" t="n">
        <f aca="false">(B17-B16)/B16*100</f>
        <v>-0.494163424124502</v>
      </c>
    </row>
    <row r="18" customFormat="false" ht="15" hidden="false" customHeight="false" outlineLevel="0" collapsed="false">
      <c r="A18" s="6" t="s">
        <v>17</v>
      </c>
      <c r="B18" s="10" t="n">
        <v>5.1115</v>
      </c>
      <c r="C18" s="7" t="n">
        <f aca="false">(B18-B17)/B17*100</f>
        <v>-0.0606108004536011</v>
      </c>
    </row>
    <row r="19" customFormat="false" ht="15" hidden="false" customHeight="false" outlineLevel="0" collapsed="false">
      <c r="A19" s="6" t="s">
        <v>18</v>
      </c>
      <c r="B19" s="10" t="n">
        <v>5.1203</v>
      </c>
      <c r="C19" s="7" t="n">
        <f aca="false">(B19-B18)/B18*100</f>
        <v>0.172160813851118</v>
      </c>
    </row>
    <row r="20" customFormat="false" ht="15" hidden="false" customHeight="false" outlineLevel="0" collapsed="false">
      <c r="A20" s="6" t="s">
        <v>19</v>
      </c>
      <c r="B20" s="10" t="n">
        <v>5.0909</v>
      </c>
      <c r="C20" s="7" t="n">
        <f aca="false">(B20-B19)/B19*100</f>
        <v>-0.574185106341423</v>
      </c>
    </row>
    <row r="21" customFormat="false" ht="15" hidden="false" customHeight="false" outlineLevel="0" collapsed="false">
      <c r="A21" s="6" t="s">
        <v>20</v>
      </c>
      <c r="B21" s="10" t="n">
        <v>5.2144</v>
      </c>
      <c r="C21" s="7" t="n">
        <f aca="false">(B21-B20)/B20*100</f>
        <v>2.42589718910212</v>
      </c>
    </row>
    <row r="22" customFormat="false" ht="15" hidden="false" customHeight="false" outlineLevel="0" collapsed="false">
      <c r="A22" s="6" t="s">
        <v>21</v>
      </c>
      <c r="B22" s="10" t="n">
        <v>5.1986</v>
      </c>
      <c r="C22" s="7" t="n">
        <f aca="false">(B22-B21)/B21*100</f>
        <v>-0.303007057379573</v>
      </c>
    </row>
    <row r="23" customFormat="false" ht="15" hidden="false" customHeight="false" outlineLevel="0" collapsed="false">
      <c r="A23" s="6" t="s">
        <v>22</v>
      </c>
      <c r="B23" s="10" t="n">
        <v>5.1922</v>
      </c>
      <c r="C23" s="7" t="n">
        <f aca="false">(B23-B22)/B22*100</f>
        <v>-0.12311006809526</v>
      </c>
    </row>
    <row r="24" customFormat="false" ht="15" hidden="false" customHeight="false" outlineLevel="0" collapsed="false">
      <c r="A24" s="6" t="s">
        <v>23</v>
      </c>
      <c r="B24" s="10" t="n">
        <v>5.1696</v>
      </c>
      <c r="C24" s="7" t="n">
        <f aca="false">(B24-B23)/B23*100</f>
        <v>-0.435268287045948</v>
      </c>
    </row>
    <row r="25" customFormat="false" ht="15" hidden="false" customHeight="false" outlineLevel="0" collapsed="false">
      <c r="A25" s="6" t="s">
        <v>24</v>
      </c>
      <c r="B25" s="10" t="n">
        <v>5.1042</v>
      </c>
      <c r="C25" s="7" t="n">
        <f aca="false">(B25-B24)/B24*100</f>
        <v>-1.26508820798515</v>
      </c>
    </row>
    <row r="26" customFormat="false" ht="15" hidden="false" customHeight="false" outlineLevel="0" collapsed="false">
      <c r="A26" s="6" t="s">
        <v>25</v>
      </c>
      <c r="B26" s="10" t="n">
        <v>5.0951</v>
      </c>
      <c r="C26" s="7" t="n">
        <f aca="false">(B26-B25)/B25*100</f>
        <v>-0.178284549978434</v>
      </c>
    </row>
    <row r="27" customFormat="false" ht="15" hidden="false" customHeight="false" outlineLevel="0" collapsed="false">
      <c r="A27" s="6" t="s">
        <v>26</v>
      </c>
      <c r="B27" s="10" t="n">
        <v>5.0767</v>
      </c>
      <c r="C27" s="7" t="n">
        <f aca="false">(B27-B26)/B26*100</f>
        <v>-0.361131282997402</v>
      </c>
    </row>
    <row r="28" customFormat="false" ht="15" hidden="false" customHeight="false" outlineLevel="0" collapsed="false">
      <c r="A28" s="6" t="s">
        <v>27</v>
      </c>
      <c r="B28" s="10" t="n">
        <v>5.0959</v>
      </c>
      <c r="C28" s="7" t="n">
        <f aca="false">(B28-B27)/B27*100</f>
        <v>0.378198435991895</v>
      </c>
    </row>
    <row r="29" customFormat="false" ht="15" hidden="false" customHeight="false" outlineLevel="0" collapsed="false">
      <c r="A29" s="6" t="s">
        <v>28</v>
      </c>
      <c r="B29" s="10" t="n">
        <v>5.0993</v>
      </c>
      <c r="C29" s="7" t="n">
        <f aca="false">(B29-B28)/B28*100</f>
        <v>0.0667203045585681</v>
      </c>
    </row>
    <row r="30" customFormat="false" ht="15" hidden="false" customHeight="false" outlineLevel="0" collapsed="false">
      <c r="A30" s="6" t="s">
        <v>29</v>
      </c>
      <c r="B30" s="10" t="n">
        <v>5.0721</v>
      </c>
      <c r="C30" s="7" t="n">
        <f aca="false">(B30-B29)/B29*100</f>
        <v>-0.53340654599652</v>
      </c>
    </row>
    <row r="31" customFormat="false" ht="15" hidden="false" customHeight="false" outlineLevel="0" collapsed="false">
      <c r="A31" s="6" t="s">
        <v>30</v>
      </c>
      <c r="B31" s="10" t="n">
        <v>4.9901</v>
      </c>
      <c r="C31" s="7" t="n">
        <f aca="false">(B31-B30)/B30*100</f>
        <v>-1.61668736815126</v>
      </c>
    </row>
    <row r="32" customFormat="false" ht="15" hidden="false" customHeight="false" outlineLevel="0" collapsed="false">
      <c r="A32" s="6" t="s">
        <v>31</v>
      </c>
      <c r="B32" s="10" t="n">
        <v>5.103</v>
      </c>
      <c r="C32" s="7" t="n">
        <f aca="false">(B32-B31)/B31*100</f>
        <v>2.26247970982545</v>
      </c>
    </row>
    <row r="33" customFormat="false" ht="15" hidden="false" customHeight="false" outlineLevel="0" collapsed="false">
      <c r="A33" s="6" t="s">
        <v>32</v>
      </c>
      <c r="B33" s="10" t="n">
        <v>5.1763</v>
      </c>
      <c r="C33" s="7" t="n">
        <f aca="false">(B33-B32)/B32*100</f>
        <v>1.43640995492849</v>
      </c>
    </row>
    <row r="34" customFormat="false" ht="15" hidden="false" customHeight="false" outlineLevel="0" collapsed="false">
      <c r="A34" s="6" t="s">
        <v>33</v>
      </c>
      <c r="B34" s="10" t="n">
        <v>5.1695</v>
      </c>
      <c r="C34" s="7" t="n">
        <f aca="false">(B34-B33)/B33*100</f>
        <v>-0.131367965535231</v>
      </c>
    </row>
    <row r="35" customFormat="false" ht="15" hidden="false" customHeight="false" outlineLevel="0" collapsed="false">
      <c r="A35" s="6" t="s">
        <v>34</v>
      </c>
      <c r="B35" s="10" t="n">
        <v>5.2036</v>
      </c>
      <c r="C35" s="7" t="n">
        <f aca="false">(B35-B34)/B34*100</f>
        <v>0.659638262888085</v>
      </c>
    </row>
    <row r="36" customFormat="false" ht="15" hidden="false" customHeight="false" outlineLevel="0" collapsed="false">
      <c r="A36" s="6" t="s">
        <v>35</v>
      </c>
      <c r="B36" s="10" t="n">
        <v>5.2315</v>
      </c>
      <c r="C36" s="7" t="n">
        <f aca="false">(B36-B35)/B35*100</f>
        <v>0.536167268813894</v>
      </c>
    </row>
    <row r="37" customFormat="false" ht="15" hidden="false" customHeight="false" outlineLevel="0" collapsed="false">
      <c r="A37" s="6" t="s">
        <v>36</v>
      </c>
      <c r="B37" s="10" t="n">
        <v>5.2526</v>
      </c>
      <c r="C37" s="7" t="n">
        <f aca="false">(B37-B36)/B36*100</f>
        <v>0.403326005925654</v>
      </c>
    </row>
    <row r="38" customFormat="false" ht="15" hidden="false" customHeight="false" outlineLevel="0" collapsed="false">
      <c r="A38" s="6" t="s">
        <v>37</v>
      </c>
      <c r="B38" s="10" t="n">
        <v>5.1834</v>
      </c>
      <c r="C38" s="7" t="n">
        <f aca="false">(B38-B37)/B37*100</f>
        <v>-1.31744279023722</v>
      </c>
    </row>
    <row r="39" customFormat="false" ht="15" hidden="false" customHeight="false" outlineLevel="0" collapsed="false">
      <c r="A39" s="6" t="s">
        <v>38</v>
      </c>
      <c r="B39" s="10" t="n">
        <v>5.1507</v>
      </c>
      <c r="C39" s="7" t="n">
        <f aca="false">(B39-B38)/B38*100</f>
        <v>-0.630860053246907</v>
      </c>
    </row>
    <row r="40" customFormat="false" ht="15" hidden="false" customHeight="false" outlineLevel="0" collapsed="false">
      <c r="A40" s="6" t="s">
        <v>39</v>
      </c>
      <c r="B40" s="10" t="n">
        <v>5.2243</v>
      </c>
      <c r="C40" s="7" t="n">
        <f aca="false">(B40-B39)/B39*100</f>
        <v>1.42893198982664</v>
      </c>
    </row>
    <row r="41" customFormat="false" ht="15" hidden="false" customHeight="false" outlineLevel="0" collapsed="false">
      <c r="A41" s="6" t="s">
        <v>40</v>
      </c>
      <c r="B41" s="10" t="n">
        <v>5.2432</v>
      </c>
      <c r="C41" s="7" t="n">
        <f aca="false">(B41-B40)/B40*100</f>
        <v>0.361770954960463</v>
      </c>
    </row>
    <row r="42" customFormat="false" ht="15" hidden="false" customHeight="false" outlineLevel="0" collapsed="false">
      <c r="A42" s="6" t="s">
        <v>41</v>
      </c>
      <c r="B42" s="10" t="n">
        <v>5.2012</v>
      </c>
      <c r="C42" s="7" t="n">
        <f aca="false">(B42-B41)/B41*100</f>
        <v>-0.801037534330177</v>
      </c>
    </row>
    <row r="43" customFormat="false" ht="15" hidden="false" customHeight="false" outlineLevel="0" collapsed="false">
      <c r="A43" s="6" t="s">
        <v>42</v>
      </c>
      <c r="B43" s="10" t="n">
        <v>5.173</v>
      </c>
      <c r="C43" s="7" t="n">
        <f aca="false">(B43-B42)/B42*100</f>
        <v>-0.542182573252326</v>
      </c>
    </row>
    <row r="44" customFormat="false" ht="15" hidden="false" customHeight="false" outlineLevel="0" collapsed="false">
      <c r="A44" s="6" t="s">
        <v>43</v>
      </c>
      <c r="B44" s="10" t="n">
        <v>5.133</v>
      </c>
      <c r="C44" s="7" t="n">
        <f aca="false">(B44-B43)/B43*100</f>
        <v>-0.773245698820801</v>
      </c>
    </row>
    <row r="45" customFormat="false" ht="15" hidden="false" customHeight="false" outlineLevel="0" collapsed="false">
      <c r="A45" s="6" t="s">
        <v>44</v>
      </c>
      <c r="B45" s="10" t="n">
        <v>5.1791</v>
      </c>
      <c r="C45" s="7" t="n">
        <f aca="false">(B45-B44)/B44*100</f>
        <v>0.898110266900449</v>
      </c>
    </row>
    <row r="46" customFormat="false" ht="15" hidden="false" customHeight="false" outlineLevel="0" collapsed="false">
      <c r="A46" s="6" t="s">
        <v>45</v>
      </c>
      <c r="B46" s="10" t="n">
        <v>5.196</v>
      </c>
      <c r="C46" s="7" t="n">
        <f aca="false">(B46-B45)/B45*100</f>
        <v>0.326311521306785</v>
      </c>
    </row>
    <row r="47" customFormat="false" ht="15" hidden="false" customHeight="false" outlineLevel="0" collapsed="false">
      <c r="A47" s="6" t="s">
        <v>46</v>
      </c>
      <c r="B47" s="10" t="n">
        <v>5.2078</v>
      </c>
      <c r="C47" s="7" t="n">
        <f aca="false">(B47-B46)/B46*100</f>
        <v>0.227097767513473</v>
      </c>
    </row>
    <row r="48" customFormat="false" ht="15" hidden="false" customHeight="false" outlineLevel="0" collapsed="false">
      <c r="A48" s="6" t="s">
        <v>47</v>
      </c>
      <c r="B48" s="10" t="n">
        <v>5.207</v>
      </c>
      <c r="C48" s="7" t="n">
        <f aca="false">(B48-B47)/B47*100</f>
        <v>-0.0153615730250761</v>
      </c>
    </row>
    <row r="49" customFormat="false" ht="15" hidden="false" customHeight="false" outlineLevel="0" collapsed="false">
      <c r="A49" s="6" t="s">
        <v>48</v>
      </c>
      <c r="B49" s="10" t="n">
        <v>5.208</v>
      </c>
      <c r="C49" s="7" t="n">
        <f aca="false">(B49-B48)/B48*100</f>
        <v>0.0192049164586198</v>
      </c>
    </row>
    <row r="50" customFormat="false" ht="15" hidden="false" customHeight="false" outlineLevel="0" collapsed="false">
      <c r="A50" s="6" t="s">
        <v>49</v>
      </c>
      <c r="B50" s="10" t="n">
        <v>5.2037</v>
      </c>
      <c r="C50" s="7" t="n">
        <f aca="false">(B50-B49)/B49*100</f>
        <v>-0.0825652841781826</v>
      </c>
    </row>
    <row r="51" customFormat="false" ht="15" hidden="false" customHeight="false" outlineLevel="0" collapsed="false">
      <c r="A51" s="6" t="s">
        <v>50</v>
      </c>
      <c r="B51" s="10" t="n">
        <v>5.197</v>
      </c>
      <c r="C51" s="7" t="n">
        <f aca="false">(B51-B50)/B50*100</f>
        <v>-0.128754540038826</v>
      </c>
    </row>
    <row r="52" customFormat="false" ht="15" hidden="false" customHeight="false" outlineLevel="0" collapsed="false">
      <c r="A52" s="6" t="s">
        <v>51</v>
      </c>
      <c r="B52" s="10" t="n">
        <v>5.1901</v>
      </c>
      <c r="C52" s="7" t="n">
        <f aca="false">(B52-B51)/B51*100</f>
        <v>-0.132768905137578</v>
      </c>
    </row>
    <row r="53" customFormat="false" ht="15" hidden="false" customHeight="false" outlineLevel="0" collapsed="false">
      <c r="A53" s="6" t="s">
        <v>52</v>
      </c>
      <c r="B53" s="10" t="n">
        <v>5.1387</v>
      </c>
      <c r="C53" s="7" t="n">
        <f aca="false">(B53-B52)/B52*100</f>
        <v>-0.990347006801413</v>
      </c>
    </row>
    <row r="54" customFormat="false" ht="15" hidden="false" customHeight="false" outlineLevel="0" collapsed="false">
      <c r="A54" s="6" t="s">
        <v>53</v>
      </c>
      <c r="B54" s="10" t="n">
        <v>5.1353</v>
      </c>
      <c r="C54" s="7" t="n">
        <f aca="false">(B54-B53)/B53*100</f>
        <v>-0.0661645941580569</v>
      </c>
    </row>
    <row r="55" customFormat="false" ht="15" hidden="false" customHeight="false" outlineLevel="0" collapsed="false">
      <c r="A55" s="6" t="s">
        <v>54</v>
      </c>
      <c r="B55" s="10" t="n">
        <v>5.1822</v>
      </c>
      <c r="C55" s="7" t="n">
        <f aca="false">(B55-B54)/B54*100</f>
        <v>0.913286468171284</v>
      </c>
    </row>
    <row r="56" customFormat="false" ht="15" hidden="false" customHeight="false" outlineLevel="0" collapsed="false">
      <c r="A56" s="6" t="s">
        <v>55</v>
      </c>
      <c r="B56" s="10" t="n">
        <v>5.24</v>
      </c>
      <c r="C56" s="7" t="n">
        <f aca="false">(B56-B55)/B55*100</f>
        <v>1.11535641233454</v>
      </c>
    </row>
    <row r="57" customFormat="false" ht="15" hidden="false" customHeight="false" outlineLevel="0" collapsed="false">
      <c r="A57" s="6" t="s">
        <v>56</v>
      </c>
      <c r="B57" s="10" t="n">
        <v>5.2362</v>
      </c>
      <c r="C57" s="7" t="n">
        <f aca="false">(B57-B56)/B56*100</f>
        <v>-0.0725190839694661</v>
      </c>
    </row>
    <row r="58" customFormat="false" ht="15" hidden="false" customHeight="false" outlineLevel="0" collapsed="false">
      <c r="A58" s="6" t="s">
        <v>57</v>
      </c>
      <c r="B58" s="10" t="n">
        <v>5.2981</v>
      </c>
      <c r="C58" s="7" t="n">
        <f aca="false">(B58-B57)/B57*100</f>
        <v>1.18215499789923</v>
      </c>
    </row>
    <row r="59" customFormat="false" ht="15" hidden="false" customHeight="false" outlineLevel="0" collapsed="false">
      <c r="A59" s="6" t="s">
        <v>58</v>
      </c>
      <c r="B59" s="10" t="n">
        <v>5.2892</v>
      </c>
      <c r="C59" s="7" t="n">
        <f aca="false">(B59-B58)/B58*100</f>
        <v>-0.167984749249725</v>
      </c>
    </row>
    <row r="60" customFormat="false" ht="15" hidden="false" customHeight="false" outlineLevel="0" collapsed="false">
      <c r="A60" s="6" t="s">
        <v>59</v>
      </c>
      <c r="B60" s="10" t="n">
        <v>5.2679</v>
      </c>
      <c r="C60" s="7" t="n">
        <f aca="false">(B60-B59)/B59*100</f>
        <v>-0.402707403766167</v>
      </c>
    </row>
    <row r="61" customFormat="false" ht="15" hidden="false" customHeight="false" outlineLevel="0" collapsed="false">
      <c r="A61" s="6" t="s">
        <v>60</v>
      </c>
      <c r="B61" s="10" t="n">
        <v>5.2467</v>
      </c>
      <c r="C61" s="7" t="n">
        <f aca="false">(B61-B60)/B60*100</f>
        <v>-0.402437403899093</v>
      </c>
    </row>
    <row r="62" customFormat="false" ht="15" hidden="false" customHeight="false" outlineLevel="0" collapsed="false">
      <c r="A62" s="6" t="s">
        <v>61</v>
      </c>
      <c r="B62" s="10" t="n">
        <v>5.2444</v>
      </c>
      <c r="C62" s="7" t="n">
        <f aca="false">(B62-B61)/B61*100</f>
        <v>-0.0438370785446084</v>
      </c>
    </row>
    <row r="63" customFormat="false" ht="15" hidden="false" customHeight="false" outlineLevel="0" collapsed="false">
      <c r="A63" s="6" t="s">
        <v>62</v>
      </c>
      <c r="B63" s="10" t="n">
        <v>5.2648</v>
      </c>
      <c r="C63" s="7" t="n">
        <f aca="false">(B63-B62)/B62*100</f>
        <v>0.388986347341935</v>
      </c>
    </row>
    <row r="64" customFormat="false" ht="15" hidden="false" customHeight="false" outlineLevel="0" collapsed="false">
      <c r="A64" s="6" t="s">
        <v>63</v>
      </c>
      <c r="B64" s="10" t="n">
        <v>5.2632</v>
      </c>
      <c r="C64" s="7" t="n">
        <f aca="false">(B64-B63)/B63*100</f>
        <v>-0.0303905181583313</v>
      </c>
    </row>
    <row r="65" customFormat="false" ht="15" hidden="false" customHeight="false" outlineLevel="0" collapsed="false">
      <c r="A65" s="6" t="s">
        <v>64</v>
      </c>
      <c r="B65" s="10" t="n">
        <v>5.2921</v>
      </c>
      <c r="C65" s="7" t="n">
        <f aca="false">(B65-B64)/B64*100</f>
        <v>0.549095607235128</v>
      </c>
    </row>
    <row r="66" customFormat="false" ht="15" hidden="false" customHeight="false" outlineLevel="0" collapsed="false">
      <c r="A66" s="6" t="s">
        <v>65</v>
      </c>
      <c r="B66" s="10" t="n">
        <v>5.2306</v>
      </c>
      <c r="C66" s="7" t="n">
        <f aca="false">(B66-B65)/B65*100</f>
        <v>-1.16210955953213</v>
      </c>
    </row>
    <row r="67" customFormat="false" ht="15" hidden="false" customHeight="false" outlineLevel="0" collapsed="false">
      <c r="A67" s="6" t="s">
        <v>66</v>
      </c>
      <c r="B67" s="10" t="n">
        <v>5.1733</v>
      </c>
      <c r="C67" s="7" t="n">
        <f aca="false">(B67-B66)/B66*100</f>
        <v>-1.09547661836118</v>
      </c>
    </row>
    <row r="68" customFormat="false" ht="15" hidden="false" customHeight="false" outlineLevel="0" collapsed="false">
      <c r="A68" s="6" t="s">
        <v>67</v>
      </c>
      <c r="B68" s="10" t="n">
        <v>5.1493</v>
      </c>
      <c r="C68" s="7" t="n">
        <f aca="false">(B68-B67)/B67*100</f>
        <v>-0.463920514951772</v>
      </c>
    </row>
    <row r="69" customFormat="false" ht="15" hidden="false" customHeight="false" outlineLevel="0" collapsed="false">
      <c r="A69" s="6" t="s">
        <v>68</v>
      </c>
      <c r="B69" s="10" t="n">
        <v>5.1254</v>
      </c>
      <c r="C69" s="7" t="n">
        <f aca="false">(B69-B68)/B68*100</f>
        <v>-0.464140756996102</v>
      </c>
    </row>
    <row r="70" customFormat="false" ht="15" hidden="false" customHeight="false" outlineLevel="0" collapsed="false">
      <c r="A70" s="6" t="s">
        <v>69</v>
      </c>
      <c r="B70" s="10" t="n">
        <v>5.0804</v>
      </c>
      <c r="C70" s="7" t="n">
        <f aca="false">(B70-B69)/B69*100</f>
        <v>-0.877980255199593</v>
      </c>
    </row>
    <row r="71" customFormat="false" ht="15" hidden="false" customHeight="false" outlineLevel="0" collapsed="false">
      <c r="A71" s="6" t="s">
        <v>70</v>
      </c>
      <c r="B71" s="10" t="n">
        <v>5.0637</v>
      </c>
      <c r="C71" s="7" t="n">
        <f aca="false">(B71-B70)/B70*100</f>
        <v>-0.328714274466581</v>
      </c>
    </row>
    <row r="72" customFormat="false" ht="15" hidden="false" customHeight="false" outlineLevel="0" collapsed="false">
      <c r="A72" s="6" t="s">
        <v>71</v>
      </c>
      <c r="B72" s="10" t="n">
        <v>5.0762</v>
      </c>
      <c r="C72" s="7" t="n">
        <f aca="false">(B72-B71)/B71*100</f>
        <v>0.246855066453387</v>
      </c>
    </row>
    <row r="73" customFormat="false" ht="15" hidden="false" customHeight="false" outlineLevel="0" collapsed="false">
      <c r="A73" s="6" t="s">
        <v>72</v>
      </c>
      <c r="B73" s="10" t="n">
        <v>5.0447</v>
      </c>
      <c r="C73" s="7" t="n">
        <f aca="false">(B73-B72)/B72*100</f>
        <v>-0.620542925810652</v>
      </c>
    </row>
    <row r="74" customFormat="false" ht="15" hidden="false" customHeight="false" outlineLevel="0" collapsed="false">
      <c r="A74" s="6" t="s">
        <v>73</v>
      </c>
      <c r="B74" s="10" t="n">
        <v>5.0683</v>
      </c>
      <c r="C74" s="7" t="n">
        <f aca="false">(B74-B73)/B73*100</f>
        <v>0.467817709675502</v>
      </c>
    </row>
    <row r="75" customFormat="false" ht="15" hidden="false" customHeight="false" outlineLevel="0" collapsed="false">
      <c r="A75" s="6" t="s">
        <v>74</v>
      </c>
      <c r="B75" s="10" t="n">
        <v>5.0834</v>
      </c>
      <c r="C75" s="7" t="n">
        <f aca="false">(B75-B74)/B74*100</f>
        <v>0.297930272477958</v>
      </c>
    </row>
    <row r="76" customFormat="false" ht="15" hidden="false" customHeight="false" outlineLevel="0" collapsed="false">
      <c r="A76" s="6" t="s">
        <v>75</v>
      </c>
      <c r="B76" s="10" t="n">
        <v>5.0128</v>
      </c>
      <c r="C76" s="7" t="n">
        <f aca="false">(B76-B75)/B75*100</f>
        <v>-1.38883424479679</v>
      </c>
    </row>
    <row r="77" customFormat="false" ht="15" hidden="false" customHeight="false" outlineLevel="0" collapsed="false">
      <c r="A77" s="6" t="s">
        <v>76</v>
      </c>
      <c r="B77" s="10" t="n">
        <v>4.9496</v>
      </c>
      <c r="C77" s="7" t="n">
        <f aca="false">(B77-B76)/B76*100</f>
        <v>-1.26077242259815</v>
      </c>
    </row>
    <row r="78" customFormat="false" ht="15" hidden="false" customHeight="false" outlineLevel="0" collapsed="false">
      <c r="A78" s="6" t="s">
        <v>77</v>
      </c>
      <c r="B78" s="10" t="n">
        <v>4.9097</v>
      </c>
      <c r="C78" s="7" t="n">
        <f aca="false">(B78-B77)/B77*100</f>
        <v>-0.80612574753516</v>
      </c>
    </row>
    <row r="79" customFormat="false" ht="15" hidden="false" customHeight="false" outlineLevel="0" collapsed="false">
      <c r="A79" s="6" t="s">
        <v>78</v>
      </c>
      <c r="B79" s="10" t="n">
        <v>4.9455</v>
      </c>
      <c r="C79" s="7" t="n">
        <f aca="false">(B79-B78)/B78*100</f>
        <v>0.729168788317006</v>
      </c>
    </row>
    <row r="80" customFormat="false" ht="15" hidden="false" customHeight="false" outlineLevel="0" collapsed="false">
      <c r="A80" s="6" t="s">
        <v>79</v>
      </c>
      <c r="B80" s="10" t="n">
        <v>4.9421</v>
      </c>
      <c r="C80" s="7" t="n">
        <f aca="false">(B80-B79)/B79*100</f>
        <v>-0.0687493681124269</v>
      </c>
    </row>
    <row r="81" customFormat="false" ht="15" hidden="false" customHeight="false" outlineLevel="0" collapsed="false">
      <c r="A81" s="6" t="s">
        <v>80</v>
      </c>
      <c r="B81" s="10" t="n">
        <v>4.9678</v>
      </c>
      <c r="C81" s="7" t="n">
        <f aca="false">(B81-B80)/B80*100</f>
        <v>0.520021853058427</v>
      </c>
    </row>
    <row r="82" customFormat="false" ht="15" hidden="false" customHeight="false" outlineLevel="0" collapsed="false">
      <c r="A82" s="6" t="s">
        <v>81</v>
      </c>
      <c r="B82" s="10" t="n">
        <v>5.0467</v>
      </c>
      <c r="C82" s="7" t="n">
        <f aca="false">(B82-B81)/B81*100</f>
        <v>1.58822818954064</v>
      </c>
    </row>
    <row r="83" customFormat="false" ht="15" hidden="false" customHeight="false" outlineLevel="0" collapsed="false">
      <c r="A83" s="6" t="s">
        <v>82</v>
      </c>
      <c r="B83" s="10" t="n">
        <v>5.0497</v>
      </c>
      <c r="C83" s="7" t="n">
        <f aca="false">(B83-B82)/B82*100</f>
        <v>0.0594447857015322</v>
      </c>
    </row>
    <row r="84" customFormat="false" ht="15" hidden="false" customHeight="false" outlineLevel="0" collapsed="false">
      <c r="A84" s="6" t="s">
        <v>83</v>
      </c>
      <c r="B84" s="10" t="n">
        <v>5.0595</v>
      </c>
      <c r="C84" s="7" t="n">
        <f aca="false">(B84-B83)/B83*100</f>
        <v>0.194070934907029</v>
      </c>
    </row>
    <row r="85" customFormat="false" ht="15" hidden="false" customHeight="false" outlineLevel="0" collapsed="false">
      <c r="A85" s="6" t="s">
        <v>84</v>
      </c>
      <c r="B85" s="10" t="n">
        <v>5.0613</v>
      </c>
      <c r="C85" s="7" t="n">
        <f aca="false">(B85-B84)/B84*100</f>
        <v>0.0355766380077131</v>
      </c>
    </row>
    <row r="86" customFormat="false" ht="15" hidden="false" customHeight="false" outlineLevel="0" collapsed="false">
      <c r="A86" s="6" t="s">
        <v>85</v>
      </c>
      <c r="B86" s="10" t="n">
        <v>5.0585</v>
      </c>
      <c r="C86" s="7" t="n">
        <f aca="false">(B86-B85)/B85*100</f>
        <v>-0.0553217552802579</v>
      </c>
    </row>
    <row r="87" customFormat="false" ht="15" hidden="false" customHeight="false" outlineLevel="0" collapsed="false">
      <c r="A87" s="6" t="s">
        <v>86</v>
      </c>
      <c r="B87" s="10" t="n">
        <v>5.015</v>
      </c>
      <c r="C87" s="7" t="n">
        <f aca="false">(B87-B86)/B86*100</f>
        <v>-0.859938717010987</v>
      </c>
    </row>
    <row r="88" customFormat="false" ht="15" hidden="false" customHeight="false" outlineLevel="0" collapsed="false">
      <c r="A88" s="6" t="s">
        <v>87</v>
      </c>
      <c r="B88" s="10" t="n">
        <v>5.0007</v>
      </c>
      <c r="C88" s="7" t="n">
        <f aca="false">(B88-B87)/B87*100</f>
        <v>-0.285144566301088</v>
      </c>
    </row>
    <row r="89" customFormat="false" ht="15" hidden="false" customHeight="false" outlineLevel="0" collapsed="false">
      <c r="A89" s="6" t="s">
        <v>88</v>
      </c>
      <c r="B89" s="10" t="n">
        <v>5.0334</v>
      </c>
      <c r="C89" s="7" t="n">
        <f aca="false">(B89-B88)/B88*100</f>
        <v>0.653908452816609</v>
      </c>
    </row>
    <row r="90" customFormat="false" ht="15" hidden="false" customHeight="false" outlineLevel="0" collapsed="false">
      <c r="A90" s="6" t="s">
        <v>89</v>
      </c>
      <c r="B90" s="10" t="n">
        <v>5.0227</v>
      </c>
      <c r="C90" s="7" t="n">
        <f aca="false">(B90-B89)/B89*100</f>
        <v>-0.212579965828266</v>
      </c>
    </row>
    <row r="91" customFormat="false" ht="15" hidden="false" customHeight="false" outlineLevel="0" collapsed="false">
      <c r="A91" s="6" t="s">
        <v>90</v>
      </c>
      <c r="B91" s="10" t="n">
        <v>5.0106</v>
      </c>
      <c r="C91" s="7" t="n">
        <f aca="false">(B91-B90)/B90*100</f>
        <v>-0.240906285463998</v>
      </c>
    </row>
    <row r="92" customFormat="false" ht="15" hidden="false" customHeight="false" outlineLevel="0" collapsed="false">
      <c r="A92" s="6" t="s">
        <v>91</v>
      </c>
      <c r="B92" s="10" t="n">
        <v>4.9696</v>
      </c>
      <c r="C92" s="7" t="n">
        <f aca="false">(B92-B91)/B91*100</f>
        <v>-0.818265277611471</v>
      </c>
    </row>
    <row r="93" customFormat="false" ht="15" hidden="false" customHeight="false" outlineLevel="0" collapsed="false">
      <c r="A93" s="6" t="s">
        <v>92</v>
      </c>
      <c r="B93" s="10" t="n">
        <v>4.9696</v>
      </c>
      <c r="C93" s="7" t="n">
        <f aca="false">(B93-B92)/B92*100</f>
        <v>0</v>
      </c>
    </row>
    <row r="94" customFormat="false" ht="15" hidden="false" customHeight="false" outlineLevel="0" collapsed="false">
      <c r="A94" s="6" t="s">
        <v>93</v>
      </c>
      <c r="B94" s="10" t="n">
        <v>5.0007</v>
      </c>
      <c r="C94" s="7" t="n">
        <f aca="false">(B94-B93)/B93*100</f>
        <v>0.625804893754032</v>
      </c>
    </row>
    <row r="95" customFormat="false" ht="15" hidden="false" customHeight="false" outlineLevel="0" collapsed="false">
      <c r="A95" s="6" t="s">
        <v>94</v>
      </c>
      <c r="B95" s="10" t="n">
        <v>4.9547</v>
      </c>
      <c r="C95" s="7" t="n">
        <f aca="false">(B95-B94)/B94*100</f>
        <v>-0.919871218029481</v>
      </c>
    </row>
    <row r="96" customFormat="false" ht="15" hidden="false" customHeight="false" outlineLevel="0" collapsed="false">
      <c r="A96" s="6" t="s">
        <v>95</v>
      </c>
      <c r="B96" s="10" t="n">
        <v>4.9696</v>
      </c>
      <c r="C96" s="7" t="n">
        <f aca="false">(B96-B95)/B95*100</f>
        <v>0.300724564554865</v>
      </c>
    </row>
    <row r="97" customFormat="false" ht="15" hidden="false" customHeight="false" outlineLevel="0" collapsed="false">
      <c r="A97" s="6" t="s">
        <v>96</v>
      </c>
      <c r="B97" s="10" t="n">
        <v>4.9234</v>
      </c>
      <c r="C97" s="7" t="n">
        <f aca="false">(B97-B96)/B96*100</f>
        <v>-0.929652285898257</v>
      </c>
    </row>
    <row r="98" customFormat="false" ht="15" hidden="false" customHeight="false" outlineLevel="0" collapsed="false">
      <c r="A98" s="6" t="s">
        <v>97</v>
      </c>
      <c r="B98" s="10" t="n">
        <v>4.9103</v>
      </c>
      <c r="C98" s="7" t="n">
        <f aca="false">(B98-B97)/B97*100</f>
        <v>-0.266076288743544</v>
      </c>
    </row>
    <row r="99" customFormat="false" ht="15" hidden="false" customHeight="false" outlineLevel="0" collapsed="false">
      <c r="A99" s="6" t="s">
        <v>98</v>
      </c>
      <c r="B99" s="10" t="n">
        <v>4.9122</v>
      </c>
      <c r="C99" s="7" t="n">
        <f aca="false">(B99-B98)/B98*100</f>
        <v>0.0386941734720895</v>
      </c>
    </row>
    <row r="100" customFormat="false" ht="15" hidden="false" customHeight="false" outlineLevel="0" collapsed="false">
      <c r="A100" s="6" t="s">
        <v>99</v>
      </c>
      <c r="B100" s="10" t="n">
        <v>4.9513</v>
      </c>
      <c r="C100" s="7" t="n">
        <f aca="false">(B100-B99)/B99*100</f>
        <v>0.79597736248523</v>
      </c>
    </row>
    <row r="101" customFormat="false" ht="15" hidden="false" customHeight="false" outlineLevel="0" collapsed="false">
      <c r="A101" s="6" t="s">
        <v>100</v>
      </c>
      <c r="B101" s="10" t="n">
        <v>4.9647</v>
      </c>
      <c r="C101" s="7" t="n">
        <f aca="false">(B101-B100)/B100*100</f>
        <v>0.270635994587277</v>
      </c>
    </row>
    <row r="102" customFormat="false" ht="15" hidden="false" customHeight="false" outlineLevel="0" collapsed="false">
      <c r="A102" s="6" t="s">
        <v>101</v>
      </c>
      <c r="B102" s="10" t="n">
        <v>4.9858</v>
      </c>
      <c r="C102" s="7" t="n">
        <f aca="false">(B102-B101)/B101*100</f>
        <v>0.42500050355511</v>
      </c>
    </row>
    <row r="103" customFormat="false" ht="15" hidden="false" customHeight="false" outlineLevel="0" collapsed="false">
      <c r="A103" s="6" t="s">
        <v>102</v>
      </c>
      <c r="B103" s="10" t="n">
        <v>4.968</v>
      </c>
      <c r="C103" s="7" t="n">
        <f aca="false">(B103-B102)/B102*100</f>
        <v>-0.357013919531475</v>
      </c>
    </row>
    <row r="104" customFormat="false" ht="15" hidden="false" customHeight="false" outlineLevel="0" collapsed="false">
      <c r="A104" s="6" t="s">
        <v>103</v>
      </c>
      <c r="B104" s="10" t="n">
        <v>4.9674</v>
      </c>
      <c r="C104" s="7" t="n">
        <f aca="false">(B104-B103)/B103*100</f>
        <v>-0.0120772946859979</v>
      </c>
    </row>
    <row r="105" customFormat="false" ht="15" hidden="false" customHeight="false" outlineLevel="0" collapsed="false">
      <c r="A105" s="6" t="s">
        <v>104</v>
      </c>
      <c r="B105" s="10" t="n">
        <v>4.9474</v>
      </c>
      <c r="C105" s="7" t="n">
        <f aca="false">(B105-B104)/B104*100</f>
        <v>-0.402625115754712</v>
      </c>
    </row>
    <row r="106" customFormat="false" ht="15" hidden="false" customHeight="false" outlineLevel="0" collapsed="false">
      <c r="A106" s="6" t="s">
        <v>105</v>
      </c>
      <c r="B106" s="10" t="n">
        <v>4.999</v>
      </c>
      <c r="C106" s="7" t="n">
        <f aca="false">(B106-B105)/B105*100</f>
        <v>1.04297206613574</v>
      </c>
    </row>
    <row r="107" customFormat="false" ht="15" hidden="false" customHeight="false" outlineLevel="0" collapsed="false">
      <c r="A107" s="6" t="s">
        <v>106</v>
      </c>
      <c r="B107" s="10" t="n">
        <v>5.0114</v>
      </c>
      <c r="C107" s="7" t="n">
        <f aca="false">(B107-B106)/B106*100</f>
        <v>0.248049609921993</v>
      </c>
    </row>
    <row r="108" customFormat="false" ht="15" hidden="false" customHeight="false" outlineLevel="0" collapsed="false">
      <c r="A108" s="6" t="s">
        <v>107</v>
      </c>
      <c r="B108" s="10" t="n">
        <v>4.9954</v>
      </c>
      <c r="C108" s="7" t="n">
        <f aca="false">(B108-B107)/B107*100</f>
        <v>-0.319272059703875</v>
      </c>
    </row>
    <row r="109" customFormat="false" ht="15" hidden="false" customHeight="false" outlineLevel="0" collapsed="false">
      <c r="A109" s="6" t="s">
        <v>108</v>
      </c>
      <c r="B109" s="10" t="n">
        <v>5.0593</v>
      </c>
      <c r="C109" s="7" t="n">
        <f aca="false">(B109-B108)/B108*100</f>
        <v>1.27917684269529</v>
      </c>
    </row>
    <row r="110" customFormat="false" ht="15" hidden="false" customHeight="false" outlineLevel="0" collapsed="false">
      <c r="A110" s="6" t="s">
        <v>109</v>
      </c>
      <c r="B110" s="10" t="n">
        <v>5.0959</v>
      </c>
      <c r="C110" s="7" t="n">
        <f aca="false">(B110-B109)/B109*100</f>
        <v>0.723420236001027</v>
      </c>
    </row>
    <row r="111" customFormat="false" ht="15" hidden="false" customHeight="false" outlineLevel="0" collapsed="false">
      <c r="A111" s="6" t="s">
        <v>110</v>
      </c>
      <c r="B111" s="10" t="n">
        <v>5.035</v>
      </c>
      <c r="C111" s="7" t="n">
        <f aca="false">(B111-B110)/B110*100</f>
        <v>-1.19507839635786</v>
      </c>
    </row>
    <row r="112" customFormat="false" ht="15" hidden="false" customHeight="false" outlineLevel="0" collapsed="false">
      <c r="A112" s="6" t="s">
        <v>111</v>
      </c>
      <c r="B112" s="10" t="n">
        <v>4.9558</v>
      </c>
      <c r="C112" s="7" t="n">
        <f aca="false">(B112-B111)/B111*100</f>
        <v>-1.57298907646475</v>
      </c>
    </row>
    <row r="113" customFormat="false" ht="15" hidden="false" customHeight="false" outlineLevel="0" collapsed="false">
      <c r="A113" s="6" t="s">
        <v>112</v>
      </c>
      <c r="B113" s="10" t="n">
        <v>4.9236</v>
      </c>
      <c r="C113" s="7" t="n">
        <f aca="false">(B113-B112)/B112*100</f>
        <v>-0.649743734613979</v>
      </c>
    </row>
    <row r="114" customFormat="false" ht="15" hidden="false" customHeight="false" outlineLevel="0" collapsed="false">
      <c r="A114" s="6" t="s">
        <v>113</v>
      </c>
      <c r="B114" s="10" t="n">
        <v>4.9292</v>
      </c>
      <c r="C114" s="7" t="n">
        <f aca="false">(B114-B113)/B113*100</f>
        <v>0.113737915346482</v>
      </c>
    </row>
    <row r="115" customFormat="false" ht="15" hidden="false" customHeight="false" outlineLevel="0" collapsed="false">
      <c r="A115" s="6" t="s">
        <v>114</v>
      </c>
      <c r="B115" s="10" t="n">
        <v>4.9119</v>
      </c>
      <c r="C115" s="7" t="n">
        <f aca="false">(B115-B114)/B114*100</f>
        <v>-0.350969731396568</v>
      </c>
    </row>
    <row r="116" customFormat="false" ht="15" hidden="false" customHeight="false" outlineLevel="0" collapsed="false">
      <c r="A116" s="6" t="s">
        <v>115</v>
      </c>
      <c r="B116" s="10" t="n">
        <v>4.8922</v>
      </c>
      <c r="C116" s="7" t="n">
        <f aca="false">(B116-B115)/B115*100</f>
        <v>-0.401066796962484</v>
      </c>
    </row>
    <row r="117" customFormat="false" ht="15" hidden="false" customHeight="false" outlineLevel="0" collapsed="false">
      <c r="A117" s="6" t="s">
        <v>116</v>
      </c>
      <c r="B117" s="10" t="n">
        <v>4.8832</v>
      </c>
      <c r="C117" s="7" t="n">
        <f aca="false">(B117-B116)/B116*100</f>
        <v>-0.183966313723876</v>
      </c>
    </row>
    <row r="118" customFormat="false" ht="15" hidden="false" customHeight="false" outlineLevel="0" collapsed="false">
      <c r="A118" s="6" t="s">
        <v>117</v>
      </c>
      <c r="B118" s="10" t="n">
        <v>4.8533</v>
      </c>
      <c r="C118" s="7" t="n">
        <f aca="false">(B118-B117)/B117*100</f>
        <v>-0.612303407601583</v>
      </c>
    </row>
    <row r="119" customFormat="false" ht="15" hidden="false" customHeight="false" outlineLevel="0" collapsed="false">
      <c r="A119" s="6" t="s">
        <v>118</v>
      </c>
      <c r="B119" s="10" t="n">
        <v>4.8462</v>
      </c>
      <c r="C119" s="7" t="n">
        <f aca="false">(B119-B118)/B118*100</f>
        <v>-0.146292213545429</v>
      </c>
    </row>
    <row r="120" customFormat="false" ht="15" hidden="false" customHeight="false" outlineLevel="0" collapsed="false">
      <c r="A120" s="6" t="s">
        <v>119</v>
      </c>
      <c r="B120" s="10" t="n">
        <v>4.8222</v>
      </c>
      <c r="C120" s="7" t="n">
        <f aca="false">(B120-B119)/B119*100</f>
        <v>-0.495233378729727</v>
      </c>
    </row>
    <row r="121" customFormat="false" ht="15" hidden="false" customHeight="false" outlineLevel="0" collapsed="false">
      <c r="A121" s="6" t="s">
        <v>120</v>
      </c>
      <c r="B121" s="10" t="n">
        <v>4.8286</v>
      </c>
      <c r="C121" s="7" t="n">
        <f aca="false">(B121-B120)/B120*100</f>
        <v>0.132719505619845</v>
      </c>
    </row>
    <row r="122" customFormat="false" ht="15" hidden="false" customHeight="false" outlineLevel="0" collapsed="false">
      <c r="A122" s="6" t="s">
        <v>121</v>
      </c>
      <c r="B122" s="10" t="n">
        <v>4.7803</v>
      </c>
      <c r="C122" s="7" t="n">
        <f aca="false">(B122-B121)/B121*100</f>
        <v>-1.00028993911277</v>
      </c>
    </row>
    <row r="123" customFormat="false" ht="15" hidden="false" customHeight="false" outlineLevel="0" collapsed="false">
      <c r="A123" s="6" t="s">
        <v>122</v>
      </c>
      <c r="B123" s="10" t="n">
        <v>4.793</v>
      </c>
      <c r="C123" s="7" t="n">
        <f aca="false">(B123-B122)/B122*100</f>
        <v>0.265673702487286</v>
      </c>
    </row>
    <row r="124" customFormat="false" ht="15" hidden="false" customHeight="false" outlineLevel="0" collapsed="false">
      <c r="A124" s="6" t="s">
        <v>123</v>
      </c>
      <c r="B124" s="10" t="n">
        <v>4.7795</v>
      </c>
      <c r="C124" s="7" t="n">
        <f aca="false">(B124-B123)/B123*100</f>
        <v>-0.28166075526811</v>
      </c>
    </row>
    <row r="125" customFormat="false" ht="15" hidden="false" customHeight="false" outlineLevel="0" collapsed="false">
      <c r="A125" s="6" t="s">
        <v>124</v>
      </c>
      <c r="B125" s="10" t="n">
        <v>4.775</v>
      </c>
      <c r="C125" s="7" t="n">
        <f aca="false">(B125-B124)/B124*100</f>
        <v>-0.0941521079610688</v>
      </c>
    </row>
    <row r="126" customFormat="false" ht="15" hidden="false" customHeight="false" outlineLevel="0" collapsed="false">
      <c r="A126" s="6" t="s">
        <v>125</v>
      </c>
      <c r="B126" s="10" t="n">
        <v>4.7799</v>
      </c>
      <c r="C126" s="7" t="n">
        <f aca="false">(B126-B125)/B125*100</f>
        <v>0.102617801047104</v>
      </c>
    </row>
    <row r="127" customFormat="false" ht="15" hidden="false" customHeight="false" outlineLevel="0" collapsed="false">
      <c r="A127" s="6" t="s">
        <v>126</v>
      </c>
      <c r="B127" s="10" t="n">
        <v>4.7698</v>
      </c>
      <c r="C127" s="7" t="n">
        <f aca="false">(B127-B126)/B126*100</f>
        <v>-0.211301491662996</v>
      </c>
    </row>
    <row r="128" customFormat="false" ht="15" hidden="false" customHeight="false" outlineLevel="0" collapsed="false">
      <c r="A128" s="6" t="s">
        <v>127</v>
      </c>
      <c r="B128" s="10" t="n">
        <v>4.7903</v>
      </c>
      <c r="C128" s="7" t="n">
        <f aca="false">(B128-B127)/B127*100</f>
        <v>0.429787412470128</v>
      </c>
    </row>
    <row r="129" customFormat="false" ht="15" hidden="false" customHeight="false" outlineLevel="0" collapsed="false">
      <c r="A129" s="6" t="s">
        <v>128</v>
      </c>
      <c r="B129" s="10" t="n">
        <v>4.8563</v>
      </c>
      <c r="C129" s="7" t="n">
        <f aca="false">(B129-B128)/B128*100</f>
        <v>1.37778427238377</v>
      </c>
    </row>
    <row r="130" customFormat="false" ht="15" hidden="false" customHeight="false" outlineLevel="0" collapsed="false">
      <c r="A130" s="6" t="s">
        <v>129</v>
      </c>
      <c r="B130" s="10" t="n">
        <v>4.8584</v>
      </c>
      <c r="C130" s="7" t="n">
        <f aca="false">(B130-B129)/B129*100</f>
        <v>0.0432427980149403</v>
      </c>
    </row>
    <row r="131" customFormat="false" ht="15" hidden="false" customHeight="false" outlineLevel="0" collapsed="false">
      <c r="A131" s="6" t="s">
        <v>130</v>
      </c>
      <c r="B131" s="10" t="n">
        <v>4.8192</v>
      </c>
      <c r="C131" s="7" t="n">
        <f aca="false">(B131-B130)/B130*100</f>
        <v>-0.806849991766821</v>
      </c>
    </row>
    <row r="132" customFormat="false" ht="15" hidden="false" customHeight="false" outlineLevel="0" collapsed="false">
      <c r="A132" s="6" t="s">
        <v>131</v>
      </c>
      <c r="B132" s="10" t="n">
        <v>4.7876</v>
      </c>
      <c r="C132" s="7" t="n">
        <f aca="false">(B132-B131)/B131*100</f>
        <v>-0.655710491367863</v>
      </c>
    </row>
    <row r="133" customFormat="false" ht="15" hidden="false" customHeight="false" outlineLevel="0" collapsed="false">
      <c r="A133" s="6" t="s">
        <v>132</v>
      </c>
      <c r="B133" s="10" t="n">
        <v>4.8056</v>
      </c>
      <c r="C133" s="7" t="n">
        <f aca="false">(B133-B132)/B132*100</f>
        <v>0.375971259085968</v>
      </c>
    </row>
    <row r="134" customFormat="false" ht="15" hidden="false" customHeight="false" outlineLevel="0" collapsed="false">
      <c r="A134" s="6" t="s">
        <v>133</v>
      </c>
      <c r="B134" s="10" t="n">
        <v>4.8577</v>
      </c>
      <c r="C134" s="7" t="n">
        <f aca="false">(B134-B133)/B133*100</f>
        <v>1.08415182287332</v>
      </c>
    </row>
    <row r="135" customFormat="false" ht="15" hidden="false" customHeight="false" outlineLevel="0" collapsed="false">
      <c r="A135" s="6" t="s">
        <v>134</v>
      </c>
      <c r="B135" s="10" t="n">
        <v>4.8977</v>
      </c>
      <c r="C135" s="7" t="n">
        <f aca="false">(B135-B134)/B134*100</f>
        <v>0.823434958931182</v>
      </c>
    </row>
    <row r="136" customFormat="false" ht="15" hidden="false" customHeight="false" outlineLevel="0" collapsed="false">
      <c r="A136" s="6" t="s">
        <v>135</v>
      </c>
      <c r="B136" s="10" t="n">
        <v>4.8799</v>
      </c>
      <c r="C136" s="7" t="n">
        <f aca="false">(B136-B135)/B135*100</f>
        <v>-0.363435898482967</v>
      </c>
    </row>
    <row r="137" customFormat="false" ht="15" hidden="false" customHeight="false" outlineLevel="0" collapsed="false">
      <c r="A137" s="6" t="s">
        <v>136</v>
      </c>
      <c r="B137" s="10" t="n">
        <v>4.8735</v>
      </c>
      <c r="C137" s="7" t="n">
        <f aca="false">(B137-B136)/B136*100</f>
        <v>-0.131150228488292</v>
      </c>
    </row>
    <row r="138" customFormat="false" ht="15" hidden="false" customHeight="false" outlineLevel="0" collapsed="false">
      <c r="A138" s="6" t="s">
        <v>137</v>
      </c>
      <c r="B138" s="10" t="n">
        <v>4.8949</v>
      </c>
      <c r="C138" s="7" t="n">
        <f aca="false">(B138-B137)/B137*100</f>
        <v>0.439109469580381</v>
      </c>
    </row>
    <row r="139" customFormat="false" ht="15" hidden="false" customHeight="false" outlineLevel="0" collapsed="false">
      <c r="A139" s="6" t="s">
        <v>138</v>
      </c>
      <c r="B139" s="10" t="n">
        <v>4.8058</v>
      </c>
      <c r="C139" s="7" t="n">
        <f aca="false">(B139-B138)/B138*100</f>
        <v>-1.82026190524832</v>
      </c>
    </row>
    <row r="140" customFormat="false" ht="15" hidden="false" customHeight="false" outlineLevel="0" collapsed="false">
      <c r="A140" s="6" t="s">
        <v>139</v>
      </c>
      <c r="B140" s="10" t="n">
        <v>4.8038</v>
      </c>
      <c r="C140" s="7" t="n">
        <f aca="false">(B140-B139)/B139*100</f>
        <v>-0.041616380207245</v>
      </c>
    </row>
    <row r="141" customFormat="false" ht="15" hidden="false" customHeight="false" outlineLevel="0" collapsed="false">
      <c r="A141" s="6" t="s">
        <v>140</v>
      </c>
      <c r="B141" s="10" t="n">
        <v>4.7957</v>
      </c>
      <c r="C141" s="7" t="n">
        <f aca="false">(B141-B140)/B140*100</f>
        <v>-0.168616511928052</v>
      </c>
    </row>
    <row r="142" customFormat="false" ht="15" hidden="false" customHeight="false" outlineLevel="0" collapsed="false">
      <c r="A142" s="6" t="s">
        <v>141</v>
      </c>
      <c r="B142" s="10" t="n">
        <v>4.8302</v>
      </c>
      <c r="C142" s="7" t="n">
        <f aca="false">(B142-B141)/B141*100</f>
        <v>0.719394457534865</v>
      </c>
    </row>
    <row r="143" customFormat="false" ht="15" hidden="false" customHeight="false" outlineLevel="0" collapsed="false">
      <c r="A143" s="6" t="s">
        <v>142</v>
      </c>
      <c r="B143" s="10" t="n">
        <v>4.804</v>
      </c>
      <c r="C143" s="7" t="n">
        <f aca="false">(B143-B142)/B142*100</f>
        <v>-0.542420603701696</v>
      </c>
    </row>
    <row r="144" customFormat="false" ht="15" hidden="false" customHeight="false" outlineLevel="0" collapsed="false">
      <c r="A144" s="6" t="s">
        <v>143</v>
      </c>
      <c r="B144" s="10" t="n">
        <v>4.8</v>
      </c>
      <c r="C144" s="7" t="n">
        <f aca="false">(B144-B143)/B143*100</f>
        <v>-0.0832639467110834</v>
      </c>
    </row>
    <row r="145" customFormat="false" ht="15" hidden="false" customHeight="false" outlineLevel="0" collapsed="false">
      <c r="A145" s="6" t="s">
        <v>144</v>
      </c>
      <c r="B145" s="10" t="n">
        <v>4.7888</v>
      </c>
      <c r="C145" s="7" t="n">
        <f aca="false">(B145-B144)/B144*100</f>
        <v>-0.233333333333326</v>
      </c>
    </row>
    <row r="146" customFormat="false" ht="15" hidden="false" customHeight="false" outlineLevel="0" collapsed="false">
      <c r="A146" s="6" t="s">
        <v>145</v>
      </c>
      <c r="B146" s="10" t="n">
        <v>4.7732</v>
      </c>
      <c r="C146" s="7" t="n">
        <f aca="false">(B146-B145)/B145*100</f>
        <v>-0.325760106916139</v>
      </c>
    </row>
    <row r="147" customFormat="false" ht="15" hidden="false" customHeight="false" outlineLevel="0" collapsed="false">
      <c r="A147" s="6" t="s">
        <v>146</v>
      </c>
      <c r="B147" s="10" t="n">
        <v>4.7457</v>
      </c>
      <c r="C147" s="7" t="n">
        <f aca="false">(B147-B146)/B146*100</f>
        <v>-0.576133411547806</v>
      </c>
    </row>
    <row r="148" customFormat="false" ht="15" hidden="false" customHeight="false" outlineLevel="0" collapsed="false">
      <c r="A148" s="6" t="s">
        <v>147</v>
      </c>
      <c r="B148" s="10" t="n">
        <v>4.7496</v>
      </c>
      <c r="C148" s="7" t="n">
        <f aca="false">(B148-B147)/B147*100</f>
        <v>0.0821796573740395</v>
      </c>
    </row>
    <row r="149" customFormat="false" ht="15" hidden="false" customHeight="false" outlineLevel="0" collapsed="false">
      <c r="A149" s="6" t="s">
        <v>148</v>
      </c>
      <c r="B149" s="10" t="n">
        <v>4.7368</v>
      </c>
      <c r="C149" s="7" t="n">
        <f aca="false">(B149-B148)/B148*100</f>
        <v>-0.26949637864242</v>
      </c>
    </row>
    <row r="150" customFormat="false" ht="15" hidden="false" customHeight="false" outlineLevel="0" collapsed="false">
      <c r="A150" s="6" t="s">
        <v>149</v>
      </c>
      <c r="B150" s="10" t="n">
        <v>4.7202</v>
      </c>
      <c r="C150" s="7" t="n">
        <f aca="false">(B150-B149)/B149*100</f>
        <v>-0.350447559533852</v>
      </c>
    </row>
    <row r="151" customFormat="false" ht="15" hidden="false" customHeight="false" outlineLevel="0" collapsed="false">
      <c r="A151" s="6" t="s">
        <v>150</v>
      </c>
      <c r="B151" s="10" t="n">
        <v>4.7253</v>
      </c>
      <c r="C151" s="7" t="n">
        <f aca="false">(B151-B150)/B150*100</f>
        <v>0.108046269225873</v>
      </c>
    </row>
    <row r="152" customFormat="false" ht="15" hidden="false" customHeight="false" outlineLevel="0" collapsed="false">
      <c r="A152" s="6" t="s">
        <v>151</v>
      </c>
      <c r="B152" s="10" t="n">
        <v>4.7415</v>
      </c>
      <c r="C152" s="7" t="n">
        <f aca="false">(B152-B151)/B151*100</f>
        <v>0.342835375531722</v>
      </c>
    </row>
    <row r="153" customFormat="false" ht="15" hidden="false" customHeight="false" outlineLevel="0" collapsed="false">
      <c r="A153" s="6" t="s">
        <v>152</v>
      </c>
      <c r="B153" s="10" t="n">
        <v>4.7752</v>
      </c>
      <c r="C153" s="7" t="n">
        <f aca="false">(B153-B152)/B152*100</f>
        <v>0.710745544658855</v>
      </c>
    </row>
    <row r="154" customFormat="false" ht="15" hidden="false" customHeight="false" outlineLevel="0" collapsed="false">
      <c r="A154" s="6" t="s">
        <v>153</v>
      </c>
      <c r="B154" s="10" t="n">
        <v>4.8083</v>
      </c>
      <c r="C154" s="7" t="n">
        <f aca="false">(B154-B153)/B153*100</f>
        <v>0.693164684201712</v>
      </c>
    </row>
    <row r="155" customFormat="false" ht="15" hidden="false" customHeight="false" outlineLevel="0" collapsed="false">
      <c r="A155" s="6" t="s">
        <v>154</v>
      </c>
      <c r="B155" s="10" t="n">
        <v>4.8797</v>
      </c>
      <c r="C155" s="7" t="n">
        <f aca="false">(B155-B154)/B154*100</f>
        <v>1.4849323045567</v>
      </c>
    </row>
    <row r="156" customFormat="false" ht="15" hidden="false" customHeight="false" outlineLevel="0" collapsed="false">
      <c r="A156" s="6" t="s">
        <v>155</v>
      </c>
      <c r="B156" s="10" t="n">
        <v>4.8609</v>
      </c>
      <c r="C156" s="7" t="n">
        <f aca="false">(B156-B155)/B155*100</f>
        <v>-0.38526958624505</v>
      </c>
    </row>
    <row r="157" customFormat="false" ht="15" hidden="false" customHeight="false" outlineLevel="0" collapsed="false">
      <c r="A157" s="6" t="s">
        <v>156</v>
      </c>
      <c r="B157" s="10" t="n">
        <v>4.901</v>
      </c>
      <c r="C157" s="7" t="n">
        <f aca="false">(B157-B156)/B156*100</f>
        <v>0.824950112119151</v>
      </c>
    </row>
    <row r="158" customFormat="false" ht="15" hidden="false" customHeight="false" outlineLevel="0" collapsed="false">
      <c r="A158" s="6" t="s">
        <v>157</v>
      </c>
      <c r="B158" s="10" t="n">
        <v>4.9217</v>
      </c>
      <c r="C158" s="7" t="n">
        <f aca="false">(B158-B157)/B157*100</f>
        <v>0.422362783105501</v>
      </c>
    </row>
    <row r="159" customFormat="false" ht="15" hidden="false" customHeight="false" outlineLevel="0" collapsed="false">
      <c r="A159" s="6" t="s">
        <v>158</v>
      </c>
      <c r="B159" s="10" t="n">
        <v>4.9015</v>
      </c>
      <c r="C159" s="7" t="n">
        <f aca="false">(B159-B158)/B158*100</f>
        <v>-0.410427291383059</v>
      </c>
    </row>
    <row r="160" customFormat="false" ht="15" hidden="false" customHeight="false" outlineLevel="0" collapsed="false">
      <c r="A160" s="6" t="s">
        <v>159</v>
      </c>
      <c r="B160" s="10" t="n">
        <v>4.8518</v>
      </c>
      <c r="C160" s="7" t="n">
        <f aca="false">(B160-B159)/B159*100</f>
        <v>-1.0139753136795</v>
      </c>
    </row>
    <row r="161" customFormat="false" ht="15" hidden="false" customHeight="false" outlineLevel="0" collapsed="false">
      <c r="A161" s="6" t="s">
        <v>160</v>
      </c>
      <c r="B161" s="10" t="n">
        <v>4.8918</v>
      </c>
      <c r="C161" s="7" t="n">
        <f aca="false">(B161-B160)/B160*100</f>
        <v>0.824436291685561</v>
      </c>
    </row>
    <row r="162" customFormat="false" ht="15" hidden="false" customHeight="false" outlineLevel="0" collapsed="false">
      <c r="A162" s="6" t="s">
        <v>161</v>
      </c>
      <c r="B162" s="10" t="n">
        <v>4.9481</v>
      </c>
      <c r="C162" s="7" t="n">
        <f aca="false">(B162-B161)/B161*100</f>
        <v>1.15090559712172</v>
      </c>
    </row>
    <row r="163" customFormat="false" ht="15" hidden="false" customHeight="false" outlineLevel="0" collapsed="false">
      <c r="A163" s="6" t="s">
        <v>162</v>
      </c>
      <c r="B163" s="10" t="n">
        <v>4.9812</v>
      </c>
      <c r="C163" s="7" t="n">
        <f aca="false">(B163-B162)/B162*100</f>
        <v>0.668943634930582</v>
      </c>
    </row>
    <row r="164" customFormat="false" ht="15" hidden="false" customHeight="false" outlineLevel="0" collapsed="false">
      <c r="A164" s="6" t="s">
        <v>163</v>
      </c>
      <c r="B164" s="10" t="n">
        <v>4.9772</v>
      </c>
      <c r="C164" s="7" t="n">
        <f aca="false">(B164-B163)/B163*100</f>
        <v>-0.0803019352766491</v>
      </c>
    </row>
    <row r="165" customFormat="false" ht="15" hidden="false" customHeight="false" outlineLevel="0" collapsed="false">
      <c r="A165" s="6" t="s">
        <v>164</v>
      </c>
      <c r="B165" s="10" t="n">
        <v>4.9816</v>
      </c>
      <c r="C165" s="7" t="n">
        <f aca="false">(B165-B164)/B164*100</f>
        <v>0.0884031182190871</v>
      </c>
    </row>
    <row r="166" customFormat="false" ht="15" hidden="false" customHeight="false" outlineLevel="0" collapsed="false">
      <c r="A166" s="6" t="s">
        <v>165</v>
      </c>
      <c r="B166" s="10" t="n">
        <v>4.9724</v>
      </c>
      <c r="C166" s="7" t="n">
        <f aca="false">(B166-B165)/B165*100</f>
        <v>-0.184679621005297</v>
      </c>
    </row>
    <row r="167" customFormat="false" ht="15" hidden="false" customHeight="false" outlineLevel="0" collapsed="false">
      <c r="A167" s="6" t="s">
        <v>166</v>
      </c>
      <c r="B167" s="10" t="n">
        <v>4.9847</v>
      </c>
      <c r="C167" s="7" t="n">
        <f aca="false">(B167-B166)/B166*100</f>
        <v>0.247365457324426</v>
      </c>
    </row>
    <row r="168" customFormat="false" ht="15" hidden="false" customHeight="false" outlineLevel="0" collapsed="false">
      <c r="A168" s="6" t="s">
        <v>167</v>
      </c>
      <c r="B168" s="10" t="n">
        <v>4.9431</v>
      </c>
      <c r="C168" s="7" t="n">
        <f aca="false">(B168-B167)/B167*100</f>
        <v>-0.834553734427345</v>
      </c>
    </row>
    <row r="169" customFormat="false" ht="15" hidden="false" customHeight="false" outlineLevel="0" collapsed="false">
      <c r="A169" s="6" t="s">
        <v>168</v>
      </c>
      <c r="B169" s="10" t="n">
        <v>4.8977</v>
      </c>
      <c r="C169" s="7" t="n">
        <f aca="false">(B169-B168)/B168*100</f>
        <v>-0.918451983573059</v>
      </c>
    </row>
    <row r="170" customFormat="false" ht="15" hidden="false" customHeight="false" outlineLevel="0" collapsed="false">
      <c r="A170" s="6" t="s">
        <v>169</v>
      </c>
      <c r="B170" s="10" t="n">
        <v>4.8748</v>
      </c>
      <c r="C170" s="7" t="n">
        <f aca="false">(B170-B169)/B169*100</f>
        <v>-0.467566408722478</v>
      </c>
    </row>
    <row r="171" customFormat="false" ht="15" hidden="false" customHeight="false" outlineLevel="0" collapsed="false">
      <c r="A171" s="6" t="s">
        <v>170</v>
      </c>
      <c r="B171" s="10" t="n">
        <v>4.8772</v>
      </c>
      <c r="C171" s="7" t="n">
        <f aca="false">(B171-B170)/B170*100</f>
        <v>0.0492327890375118</v>
      </c>
    </row>
    <row r="172" customFormat="false" ht="15" hidden="false" customHeight="false" outlineLevel="0" collapsed="false">
      <c r="A172" s="6" t="s">
        <v>171</v>
      </c>
      <c r="B172" s="10" t="n">
        <v>4.8938</v>
      </c>
      <c r="C172" s="7" t="n">
        <f aca="false">(B172-B171)/B171*100</f>
        <v>0.340359222504706</v>
      </c>
    </row>
    <row r="173" customFormat="false" ht="15" hidden="false" customHeight="false" outlineLevel="0" collapsed="false">
      <c r="A173" s="6" t="s">
        <v>172</v>
      </c>
      <c r="B173" s="10" t="n">
        <v>4.8706</v>
      </c>
      <c r="C173" s="7" t="n">
        <f aca="false">(B173-B172)/B172*100</f>
        <v>-0.474069230454864</v>
      </c>
    </row>
    <row r="174" customFormat="false" ht="15" hidden="false" customHeight="false" outlineLevel="0" collapsed="false">
      <c r="A174" s="6" t="s">
        <v>173</v>
      </c>
      <c r="B174" s="10" t="n">
        <v>4.8653</v>
      </c>
      <c r="C174" s="7" t="n">
        <f aca="false">(B174-B173)/B173*100</f>
        <v>-0.108816162279785</v>
      </c>
    </row>
    <row r="175" customFormat="false" ht="15" hidden="false" customHeight="false" outlineLevel="0" collapsed="false">
      <c r="A175" s="6" t="s">
        <v>174</v>
      </c>
      <c r="B175" s="10" t="n">
        <v>4.9219</v>
      </c>
      <c r="C175" s="7" t="n">
        <f aca="false">(B175-B174)/B174*100</f>
        <v>1.16334039010954</v>
      </c>
    </row>
    <row r="176" customFormat="false" ht="15" hidden="false" customHeight="false" outlineLevel="0" collapsed="false">
      <c r="A176" s="6" t="s">
        <v>175</v>
      </c>
      <c r="B176" s="10" t="n">
        <v>4.9318</v>
      </c>
      <c r="C176" s="7" t="n">
        <f aca="false">(B176-B175)/B175*100</f>
        <v>0.201141835470042</v>
      </c>
    </row>
    <row r="177" customFormat="false" ht="15" hidden="false" customHeight="false" outlineLevel="0" collapsed="false">
      <c r="A177" s="6" t="s">
        <v>176</v>
      </c>
      <c r="B177" s="10" t="n">
        <v>4.9176</v>
      </c>
      <c r="C177" s="7" t="n">
        <f aca="false">(B177-B176)/B176*100</f>
        <v>-0.287927328764341</v>
      </c>
    </row>
    <row r="178" customFormat="false" ht="15" hidden="false" customHeight="false" outlineLevel="0" collapsed="false">
      <c r="A178" s="6" t="s">
        <v>177</v>
      </c>
      <c r="B178" s="10" t="n">
        <v>4.9705</v>
      </c>
      <c r="C178" s="7" t="n">
        <f aca="false">(B178-B177)/B177*100</f>
        <v>1.07572799739711</v>
      </c>
    </row>
    <row r="179" customFormat="false" ht="15" hidden="false" customHeight="false" outlineLevel="0" collapsed="false">
      <c r="A179" s="6" t="s">
        <v>178</v>
      </c>
      <c r="B179" s="10" t="n">
        <v>4.9762</v>
      </c>
      <c r="C179" s="7" t="n">
        <f aca="false">(B179-B178)/B178*100</f>
        <v>0.114676591892165</v>
      </c>
    </row>
    <row r="180" customFormat="false" ht="15" hidden="false" customHeight="false" outlineLevel="0" collapsed="false">
      <c r="A180" s="6" t="s">
        <v>179</v>
      </c>
      <c r="B180" s="10" t="n">
        <v>4.9835</v>
      </c>
      <c r="C180" s="7" t="n">
        <f aca="false">(B180-B179)/B179*100</f>
        <v>0.146698283831033</v>
      </c>
    </row>
    <row r="181" customFormat="false" ht="15" hidden="false" customHeight="false" outlineLevel="0" collapsed="false">
      <c r="A181" s="6" t="s">
        <v>180</v>
      </c>
      <c r="B181" s="10" t="n">
        <v>4.9366</v>
      </c>
      <c r="C181" s="7" t="n">
        <f aca="false">(B181-B180)/B180*100</f>
        <v>-0.941105648640513</v>
      </c>
    </row>
    <row r="182" customFormat="false" ht="15" hidden="false" customHeight="false" outlineLevel="0" collapsed="false">
      <c r="A182" s="6" t="s">
        <v>181</v>
      </c>
      <c r="B182" s="10" t="n">
        <v>4.9505</v>
      </c>
      <c r="C182" s="7" t="n">
        <f aca="false">(B182-B181)/B181*100</f>
        <v>0.281570311550451</v>
      </c>
    </row>
    <row r="183" customFormat="false" ht="15" hidden="false" customHeight="false" outlineLevel="0" collapsed="false">
      <c r="A183" s="6" t="s">
        <v>182</v>
      </c>
      <c r="B183" s="10" t="n">
        <v>4.9171</v>
      </c>
      <c r="C183" s="7" t="n">
        <f aca="false">(B183-B182)/B182*100</f>
        <v>-0.674679325320681</v>
      </c>
    </row>
    <row r="184" customFormat="false" ht="15" hidden="false" customHeight="false" outlineLevel="0" collapsed="false">
      <c r="A184" s="6" t="s">
        <v>183</v>
      </c>
      <c r="B184" s="10" t="n">
        <v>4.8751</v>
      </c>
      <c r="C184" s="7" t="n">
        <f aca="false">(B184-B183)/B183*100</f>
        <v>-0.854162006060479</v>
      </c>
    </row>
    <row r="185" customFormat="false" ht="15" hidden="false" customHeight="false" outlineLevel="0" collapsed="false">
      <c r="A185" s="6" t="s">
        <v>184</v>
      </c>
      <c r="B185" s="10" t="n">
        <v>4.8689</v>
      </c>
      <c r="C185" s="7" t="n">
        <f aca="false">(B185-B184)/B184*100</f>
        <v>-0.127176878423002</v>
      </c>
    </row>
    <row r="186" customFormat="false" ht="15" hidden="false" customHeight="false" outlineLevel="0" collapsed="false">
      <c r="A186" s="6" t="s">
        <v>185</v>
      </c>
      <c r="B186" s="10" t="n">
        <v>4.8535</v>
      </c>
      <c r="C186" s="7" t="n">
        <f aca="false">(B186-B185)/B185*100</f>
        <v>-0.31629320791143</v>
      </c>
    </row>
    <row r="187" customFormat="false" ht="15" hidden="false" customHeight="false" outlineLevel="0" collapsed="false">
      <c r="A187" s="6" t="s">
        <v>186</v>
      </c>
      <c r="B187" s="10" t="n">
        <v>4.8575</v>
      </c>
      <c r="C187" s="7" t="n">
        <f aca="false">(B187-B186)/B186*100</f>
        <v>0.082414752240642</v>
      </c>
    </row>
    <row r="188" customFormat="false" ht="15" hidden="false" customHeight="false" outlineLevel="0" collapsed="false">
      <c r="A188" s="6" t="s">
        <v>187</v>
      </c>
      <c r="B188" s="10" t="n">
        <v>4.8487</v>
      </c>
      <c r="C188" s="7" t="n">
        <f aca="false">(B188-B187)/B187*100</f>
        <v>-0.181163149768398</v>
      </c>
    </row>
    <row r="189" customFormat="false" ht="15" hidden="false" customHeight="false" outlineLevel="0" collapsed="false">
      <c r="A189" s="6" t="s">
        <v>188</v>
      </c>
      <c r="B189" s="10" t="n">
        <v>4.9229</v>
      </c>
      <c r="C189" s="7" t="n">
        <f aca="false">(B189-B188)/B188*100</f>
        <v>1.53030709262277</v>
      </c>
    </row>
    <row r="190" customFormat="false" ht="15" hidden="false" customHeight="false" outlineLevel="0" collapsed="false">
      <c r="A190" s="6" t="s">
        <v>189</v>
      </c>
      <c r="B190" s="10" t="n">
        <v>4.9131</v>
      </c>
      <c r="C190" s="7" t="n">
        <f aca="false">(B190-B189)/B189*100</f>
        <v>-0.199069654065698</v>
      </c>
    </row>
    <row r="191" customFormat="false" ht="15" hidden="false" customHeight="false" outlineLevel="0" collapsed="false">
      <c r="A191" s="6" t="s">
        <v>190</v>
      </c>
      <c r="B191" s="10" t="n">
        <v>4.9606</v>
      </c>
      <c r="C191" s="7" t="n">
        <f aca="false">(B191-B190)/B190*100</f>
        <v>0.966803036779229</v>
      </c>
    </row>
    <row r="192" customFormat="false" ht="15" hidden="false" customHeight="false" outlineLevel="0" collapsed="false">
      <c r="A192" s="6" t="s">
        <v>191</v>
      </c>
      <c r="B192" s="10" t="n">
        <v>4.9717</v>
      </c>
      <c r="C192" s="7" t="n">
        <f aca="false">(B192-B191)/B191*100</f>
        <v>0.223763254445025</v>
      </c>
    </row>
    <row r="193" customFormat="false" ht="15" hidden="false" customHeight="false" outlineLevel="0" collapsed="false">
      <c r="A193" s="6" t="s">
        <v>192</v>
      </c>
      <c r="B193" s="10" t="n">
        <v>5.0289</v>
      </c>
      <c r="C193" s="7" t="n">
        <f aca="false">(B193-B192)/B192*100</f>
        <v>1.15051189733894</v>
      </c>
    </row>
    <row r="194" customFormat="false" ht="15" hidden="false" customHeight="false" outlineLevel="0" collapsed="false">
      <c r="A194" s="6" t="s">
        <v>193</v>
      </c>
      <c r="B194" s="10" t="n">
        <v>5.0475</v>
      </c>
      <c r="C194" s="7" t="n">
        <f aca="false">(B194-B193)/B193*100</f>
        <v>0.369862196504209</v>
      </c>
    </row>
    <row r="195" customFormat="false" ht="15" hidden="false" customHeight="false" outlineLevel="0" collapsed="false">
      <c r="A195" s="6" t="s">
        <v>194</v>
      </c>
      <c r="B195" s="10" t="n">
        <v>5.0076</v>
      </c>
      <c r="C195" s="7" t="n">
        <f aca="false">(B195-B194)/B194*100</f>
        <v>-0.790490341753348</v>
      </c>
    </row>
    <row r="196" customFormat="false" ht="15" hidden="false" customHeight="false" outlineLevel="0" collapsed="false">
      <c r="A196" s="6" t="s">
        <v>195</v>
      </c>
      <c r="B196" s="10" t="n">
        <v>5.0679</v>
      </c>
      <c r="C196" s="7" t="n">
        <f aca="false">(B196-B195)/B195*100</f>
        <v>1.20416966211358</v>
      </c>
    </row>
    <row r="197" customFormat="false" ht="15" hidden="false" customHeight="false" outlineLevel="0" collapsed="false">
      <c r="A197" s="6" t="s">
        <v>196</v>
      </c>
      <c r="B197" s="10" t="n">
        <v>5.11</v>
      </c>
      <c r="C197" s="7" t="n">
        <f aca="false">(B197-B196)/B196*100</f>
        <v>0.830718838177558</v>
      </c>
    </row>
    <row r="198" customFormat="false" ht="15" hidden="false" customHeight="false" outlineLevel="0" collapsed="false">
      <c r="A198" s="6" t="s">
        <v>197</v>
      </c>
      <c r="B198" s="10" t="n">
        <v>5.1526</v>
      </c>
      <c r="C198" s="7" t="n">
        <f aca="false">(B198-B197)/B197*100</f>
        <v>0.833659491193724</v>
      </c>
    </row>
    <row r="199" customFormat="false" ht="15" hidden="false" customHeight="false" outlineLevel="0" collapsed="false">
      <c r="A199" s="6" t="s">
        <v>198</v>
      </c>
      <c r="B199" s="10" t="n">
        <v>5.1713</v>
      </c>
      <c r="C199" s="7" t="n">
        <f aca="false">(B199-B198)/B198*100</f>
        <v>0.362923572565306</v>
      </c>
    </row>
    <row r="200" customFormat="false" ht="15" hidden="false" customHeight="false" outlineLevel="0" collapsed="false">
      <c r="A200" s="6" t="s">
        <v>199</v>
      </c>
      <c r="B200" s="10" t="n">
        <v>5.1918</v>
      </c>
      <c r="C200" s="7" t="n">
        <f aca="false">(B200-B199)/B199*100</f>
        <v>0.396418695492433</v>
      </c>
    </row>
    <row r="201" customFormat="false" ht="15" hidden="false" customHeight="false" outlineLevel="0" collapsed="false">
      <c r="A201" s="6" t="s">
        <v>200</v>
      </c>
      <c r="B201" s="10" t="n">
        <v>5.1666</v>
      </c>
      <c r="C201" s="7" t="n">
        <f aca="false">(B201-B200)/B200*100</f>
        <v>-0.485380792788626</v>
      </c>
    </row>
    <row r="202" customFormat="false" ht="15" hidden="false" customHeight="false" outlineLevel="0" collapsed="false">
      <c r="A202" s="6" t="s">
        <v>201</v>
      </c>
      <c r="B202" s="10" t="n">
        <v>5.0862</v>
      </c>
      <c r="C202" s="7" t="n">
        <f aca="false">(B202-B201)/B201*100</f>
        <v>-1.55614911160144</v>
      </c>
    </row>
    <row r="203" customFormat="false" ht="15" hidden="false" customHeight="false" outlineLevel="0" collapsed="false">
      <c r="A203" s="6" t="s">
        <v>202</v>
      </c>
      <c r="B203" s="10" t="n">
        <v>5.0496</v>
      </c>
      <c r="C203" s="7" t="n">
        <f aca="false">(B203-B202)/B202*100</f>
        <v>-0.719594196059926</v>
      </c>
    </row>
    <row r="204" customFormat="false" ht="15" hidden="false" customHeight="false" outlineLevel="0" collapsed="false">
      <c r="A204" s="6" t="s">
        <v>203</v>
      </c>
      <c r="B204" s="10" t="n">
        <v>5.0625</v>
      </c>
      <c r="C204" s="7" t="n">
        <f aca="false">(B204-B203)/B203*100</f>
        <v>0.255465779467683</v>
      </c>
    </row>
    <row r="205" customFormat="false" ht="15" hidden="false" customHeight="false" outlineLevel="0" collapsed="false">
      <c r="A205" s="6" t="s">
        <v>204</v>
      </c>
      <c r="B205" s="10" t="n">
        <v>5.0618</v>
      </c>
      <c r="C205" s="7" t="n">
        <f aca="false">(B205-B204)/B204*100</f>
        <v>-0.01382716049383</v>
      </c>
    </row>
    <row r="206" customFormat="false" ht="15" hidden="false" customHeight="false" outlineLevel="0" collapsed="false">
      <c r="A206" s="6" t="s">
        <v>205</v>
      </c>
      <c r="B206" s="10" t="n">
        <v>5.0384</v>
      </c>
      <c r="C206" s="7" t="n">
        <f aca="false">(B206-B205)/B205*100</f>
        <v>-0.462286143269186</v>
      </c>
    </row>
    <row r="207" customFormat="false" ht="15" hidden="false" customHeight="false" outlineLevel="0" collapsed="false">
      <c r="A207" s="6" t="s">
        <v>206</v>
      </c>
      <c r="B207" s="10" t="n">
        <v>5.0568</v>
      </c>
      <c r="C207" s="7" t="n">
        <f aca="false">(B207-B206)/B206*100</f>
        <v>0.365195300095263</v>
      </c>
    </row>
    <row r="208" customFormat="false" ht="15" hidden="false" customHeight="false" outlineLevel="0" collapsed="false">
      <c r="A208" s="6" t="s">
        <v>207</v>
      </c>
      <c r="B208" s="10" t="n">
        <v>5.054</v>
      </c>
      <c r="C208" s="7" t="n">
        <f aca="false">(B208-B207)/B207*100</f>
        <v>-0.0553709856035377</v>
      </c>
    </row>
    <row r="209" customFormat="false" ht="15" hidden="false" customHeight="false" outlineLevel="0" collapsed="false">
      <c r="A209" s="6" t="s">
        <v>208</v>
      </c>
      <c r="B209" s="10" t="n">
        <v>5.0528</v>
      </c>
      <c r="C209" s="7" t="n">
        <f aca="false">(B209-B208)/B208*100</f>
        <v>-0.023743569449938</v>
      </c>
    </row>
    <row r="210" customFormat="false" ht="15" hidden="false" customHeight="false" outlineLevel="0" collapsed="false">
      <c r="A210" s="6" t="s">
        <v>209</v>
      </c>
      <c r="B210" s="10" t="n">
        <v>5.0164</v>
      </c>
      <c r="C210" s="7" t="n">
        <f aca="false">(B210-B209)/B209*100</f>
        <v>-0.720392653578223</v>
      </c>
    </row>
    <row r="211" customFormat="false" ht="15" hidden="false" customHeight="false" outlineLevel="0" collapsed="false">
      <c r="A211" s="6" t="s">
        <v>210</v>
      </c>
      <c r="B211" s="10" t="n">
        <v>5.0065</v>
      </c>
      <c r="C211" s="7" t="n">
        <f aca="false">(B211-B210)/B210*100</f>
        <v>-0.197352683199107</v>
      </c>
    </row>
    <row r="212" customFormat="false" ht="15" hidden="false" customHeight="false" outlineLevel="0" collapsed="false">
      <c r="A212" s="6" t="s">
        <v>211</v>
      </c>
      <c r="B212" s="10" t="n">
        <v>4.9981</v>
      </c>
      <c r="C212" s="7" t="n">
        <f aca="false">(B212-B211)/B211*100</f>
        <v>-0.167781883551382</v>
      </c>
    </row>
    <row r="213" customFormat="false" ht="15" hidden="false" customHeight="false" outlineLevel="0" collapsed="false">
      <c r="A213" s="6" t="s">
        <v>212</v>
      </c>
      <c r="B213" s="10" t="n">
        <v>5.0055</v>
      </c>
      <c r="C213" s="7" t="n">
        <f aca="false">(B213-B212)/B212*100</f>
        <v>0.148056261379317</v>
      </c>
    </row>
    <row r="214" customFormat="false" ht="15" hidden="false" customHeight="false" outlineLevel="0" collapsed="false">
      <c r="A214" s="6" t="s">
        <v>213</v>
      </c>
      <c r="B214" s="10" t="n">
        <v>4.948</v>
      </c>
      <c r="C214" s="7" t="n">
        <f aca="false">(B214-B213)/B213*100</f>
        <v>-1.14873638997102</v>
      </c>
    </row>
    <row r="215" customFormat="false" ht="15" hidden="false" customHeight="false" outlineLevel="0" collapsed="false">
      <c r="A215" s="6" t="s">
        <v>214</v>
      </c>
      <c r="B215" s="10" t="n">
        <v>5.0074</v>
      </c>
      <c r="C215" s="7" t="n">
        <f aca="false">(B215-B214)/B214*100</f>
        <v>1.20048504446239</v>
      </c>
    </row>
    <row r="216" customFormat="false" ht="15" hidden="false" customHeight="false" outlineLevel="0" collapsed="false">
      <c r="A216" s="6" t="s">
        <v>215</v>
      </c>
      <c r="B216" s="10" t="n">
        <v>5.0575</v>
      </c>
      <c r="C216" s="7" t="n">
        <f aca="false">(B216-B215)/B215*100</f>
        <v>1.00051923153733</v>
      </c>
    </row>
    <row r="217" customFormat="false" ht="15" hidden="false" customHeight="false" outlineLevel="0" collapsed="false">
      <c r="A217" s="6" t="s">
        <v>216</v>
      </c>
      <c r="B217" s="10" t="n">
        <v>5.0194</v>
      </c>
      <c r="C217" s="7" t="n">
        <f aca="false">(B217-B216)/B216*100</f>
        <v>-0.753336628769155</v>
      </c>
    </row>
    <row r="218" customFormat="false" ht="15" hidden="false" customHeight="false" outlineLevel="0" collapsed="false">
      <c r="A218" s="6" t="s">
        <v>217</v>
      </c>
      <c r="B218" s="10" t="n">
        <v>4.891</v>
      </c>
      <c r="C218" s="7" t="n">
        <f aca="false">(B218-B217)/B217*100</f>
        <v>-2.55807467027932</v>
      </c>
    </row>
    <row r="219" customFormat="false" ht="15" hidden="false" customHeight="false" outlineLevel="0" collapsed="false">
      <c r="A219" s="6" t="s">
        <v>218</v>
      </c>
      <c r="B219" s="10" t="n">
        <v>4.8999</v>
      </c>
      <c r="C219" s="7" t="n">
        <f aca="false">(B219-B218)/B218*100</f>
        <v>0.181966877939065</v>
      </c>
    </row>
    <row r="220" customFormat="false" ht="15" hidden="false" customHeight="false" outlineLevel="0" collapsed="false">
      <c r="A220" s="6" t="s">
        <v>219</v>
      </c>
      <c r="B220" s="10" t="n">
        <v>4.867</v>
      </c>
      <c r="C220" s="7" t="n">
        <f aca="false">(B220-B219)/B219*100</f>
        <v>-0.671442274332123</v>
      </c>
    </row>
    <row r="221" customFormat="false" ht="15" hidden="false" customHeight="false" outlineLevel="0" collapsed="false">
      <c r="A221" s="6" t="s">
        <v>220</v>
      </c>
      <c r="B221" s="10" t="n">
        <v>4.8855</v>
      </c>
      <c r="C221" s="7" t="n">
        <f aca="false">(B221-B220)/B220*100</f>
        <v>0.380110951304713</v>
      </c>
    </row>
    <row r="222" customFormat="false" ht="15" hidden="false" customHeight="false" outlineLevel="0" collapsed="false">
      <c r="A222" s="6" t="s">
        <v>221</v>
      </c>
      <c r="B222" s="10" t="n">
        <v>4.9007</v>
      </c>
      <c r="C222" s="7" t="n">
        <f aca="false">(B222-B221)/B221*100</f>
        <v>0.311124756933768</v>
      </c>
    </row>
    <row r="223" customFormat="false" ht="15" hidden="false" customHeight="false" outlineLevel="0" collapsed="false">
      <c r="A223" s="6" t="s">
        <v>222</v>
      </c>
      <c r="B223" s="10" t="n">
        <v>4.9219</v>
      </c>
      <c r="C223" s="7" t="n">
        <f aca="false">(B223-B222)/B222*100</f>
        <v>0.432591262472715</v>
      </c>
    </row>
    <row r="224" customFormat="false" ht="15" hidden="false" customHeight="false" outlineLevel="0" collapsed="false">
      <c r="A224" s="6" t="s">
        <v>223</v>
      </c>
      <c r="B224" s="10" t="n">
        <v>4.9247</v>
      </c>
      <c r="C224" s="7" t="n">
        <f aca="false">(B224-B223)/B223*100</f>
        <v>0.0568885999309147</v>
      </c>
    </row>
    <row r="225" customFormat="false" ht="15" hidden="false" customHeight="false" outlineLevel="0" collapsed="false">
      <c r="A225" s="6" t="s">
        <v>224</v>
      </c>
      <c r="B225" s="10" t="n">
        <v>4.8682</v>
      </c>
      <c r="C225" s="7" t="n">
        <f aca="false">(B225-B224)/B224*100</f>
        <v>-1.14727800678213</v>
      </c>
    </row>
    <row r="226" customFormat="false" ht="15" hidden="false" customHeight="false" outlineLevel="0" collapsed="false">
      <c r="A226" s="6" t="s">
        <v>225</v>
      </c>
      <c r="B226" s="10" t="n">
        <v>4.8575</v>
      </c>
      <c r="C226" s="7" t="n">
        <f aca="false">(B226-B225)/B225*100</f>
        <v>-0.219793763608725</v>
      </c>
    </row>
    <row r="227" customFormat="false" ht="15" hidden="false" customHeight="false" outlineLevel="0" collapsed="false">
      <c r="A227" s="6" t="s">
        <v>226</v>
      </c>
      <c r="B227" s="10" t="n">
        <v>4.8849</v>
      </c>
      <c r="C227" s="7" t="n">
        <f aca="false">(B227-B226)/B226*100</f>
        <v>0.564076170869791</v>
      </c>
    </row>
    <row r="228" customFormat="false" ht="15" hidden="false" customHeight="false" outlineLevel="0" collapsed="false">
      <c r="A228" s="6" t="s">
        <v>227</v>
      </c>
      <c r="B228" s="10" t="n">
        <v>4.8723</v>
      </c>
      <c r="C228" s="7" t="n">
        <f aca="false">(B228-B227)/B227*100</f>
        <v>-0.257937726463181</v>
      </c>
    </row>
    <row r="229" customFormat="false" ht="15" hidden="false" customHeight="false" outlineLevel="0" collapsed="false">
      <c r="A229" s="6" t="s">
        <v>228</v>
      </c>
      <c r="B229" s="10" t="n">
        <v>4.8806</v>
      </c>
      <c r="C229" s="7" t="n">
        <f aca="false">(B229-B228)/B228*100</f>
        <v>0.170350758368742</v>
      </c>
    </row>
    <row r="230" customFormat="false" ht="15" hidden="false" customHeight="false" outlineLevel="0" collapsed="false">
      <c r="A230" s="6" t="s">
        <v>229</v>
      </c>
      <c r="B230" s="10" t="n">
        <v>4.8968</v>
      </c>
      <c r="C230" s="7" t="n">
        <f aca="false">(B230-B229)/B229*100</f>
        <v>0.331926402491488</v>
      </c>
    </row>
    <row r="231" customFormat="false" ht="15" hidden="false" customHeight="false" outlineLevel="0" collapsed="false">
      <c r="A231" s="6" t="s">
        <v>230</v>
      </c>
      <c r="B231" s="10" t="n">
        <v>4.8931</v>
      </c>
      <c r="C231" s="7" t="n">
        <f aca="false">(B231-B230)/B230*100</f>
        <v>-0.0755595490932907</v>
      </c>
    </row>
    <row r="232" customFormat="false" ht="15" hidden="false" customHeight="false" outlineLevel="0" collapsed="false">
      <c r="A232" s="6" t="s">
        <v>231</v>
      </c>
      <c r="B232" s="10" t="n">
        <v>4.8927</v>
      </c>
      <c r="C232" s="7" t="n">
        <f aca="false">(B232-B231)/B231*100</f>
        <v>-0.00817477672640976</v>
      </c>
    </row>
    <row r="233" customFormat="false" ht="15" hidden="false" customHeight="false" outlineLevel="0" collapsed="false">
      <c r="A233" s="6" t="s">
        <v>232</v>
      </c>
      <c r="B233" s="10" t="n">
        <v>4.8951</v>
      </c>
      <c r="C233" s="7" t="n">
        <f aca="false">(B233-B232)/B232*100</f>
        <v>0.0490526703047525</v>
      </c>
    </row>
    <row r="234" customFormat="false" ht="15" hidden="false" customHeight="false" outlineLevel="0" collapsed="false">
      <c r="A234" s="6" t="s">
        <v>233</v>
      </c>
      <c r="B234" s="10" t="n">
        <v>4.8867</v>
      </c>
      <c r="C234" s="7" t="n">
        <f aca="false">(B234-B233)/B233*100</f>
        <v>-0.171600171600171</v>
      </c>
    </row>
    <row r="235" customFormat="false" ht="15" hidden="false" customHeight="false" outlineLevel="0" collapsed="false">
      <c r="A235" s="6" t="s">
        <v>234</v>
      </c>
      <c r="B235" s="10" t="n">
        <v>4.8933</v>
      </c>
      <c r="C235" s="7" t="n">
        <f aca="false">(B235-B234)/B234*100</f>
        <v>0.135060470255995</v>
      </c>
    </row>
    <row r="236" customFormat="false" ht="15" hidden="false" customHeight="false" outlineLevel="0" collapsed="false">
      <c r="A236" s="6" t="s">
        <v>235</v>
      </c>
      <c r="B236" s="10" t="n">
        <v>4.9355</v>
      </c>
      <c r="C236" s="7" t="n">
        <f aca="false">(B236-B235)/B235*100</f>
        <v>0.862403694848062</v>
      </c>
    </row>
    <row r="237" customFormat="false" ht="15" hidden="false" customHeight="false" outlineLevel="0" collapsed="false">
      <c r="A237" s="6" t="s">
        <v>236</v>
      </c>
      <c r="B237" s="10" t="n">
        <v>4.9191</v>
      </c>
      <c r="C237" s="7" t="n">
        <f aca="false">(B237-B236)/B236*100</f>
        <v>-0.332286495795765</v>
      </c>
    </row>
    <row r="238" customFormat="false" ht="15" hidden="false" customHeight="false" outlineLevel="0" collapsed="false">
      <c r="A238" s="6" t="s">
        <v>237</v>
      </c>
      <c r="B238" s="10" t="n">
        <v>4.9091</v>
      </c>
      <c r="C238" s="7" t="n">
        <f aca="false">(B238-B237)/B237*100</f>
        <v>-0.2032892195727</v>
      </c>
    </row>
    <row r="239" customFormat="false" ht="15" hidden="false" customHeight="false" outlineLevel="0" collapsed="false">
      <c r="A239" s="6" t="s">
        <v>238</v>
      </c>
      <c r="B239" s="10" t="n">
        <v>4.9522</v>
      </c>
      <c r="C239" s="7" t="n">
        <f aca="false">(B239-B238)/B238*100</f>
        <v>0.877961337108651</v>
      </c>
    </row>
    <row r="240" customFormat="false" ht="15" hidden="false" customHeight="false" outlineLevel="0" collapsed="false">
      <c r="A240" s="6" t="s">
        <v>239</v>
      </c>
      <c r="B240" s="10" t="n">
        <v>4.9031</v>
      </c>
      <c r="C240" s="7" t="n">
        <f aca="false">(B240-B239)/B239*100</f>
        <v>-0.99147853479262</v>
      </c>
    </row>
    <row r="241" customFormat="false" ht="15" hidden="false" customHeight="false" outlineLevel="0" collapsed="false">
      <c r="A241" s="6" t="s">
        <v>240</v>
      </c>
      <c r="B241" s="10" t="n">
        <v>4.8949</v>
      </c>
      <c r="C241" s="7" t="n">
        <f aca="false">(B241-B240)/B240*100</f>
        <v>-0.167241133160662</v>
      </c>
    </row>
    <row r="242" customFormat="false" ht="15" hidden="false" customHeight="false" outlineLevel="0" collapsed="false">
      <c r="A242" s="6" t="s">
        <v>241</v>
      </c>
      <c r="B242" s="10" t="n">
        <v>4.9158</v>
      </c>
      <c r="C242" s="7" t="n">
        <f aca="false">(B242-B241)/B241*100</f>
        <v>0.426975014811337</v>
      </c>
    </row>
    <row r="243" customFormat="false" ht="15" hidden="false" customHeight="false" outlineLevel="0" collapsed="false">
      <c r="A243" s="6" t="s">
        <v>242</v>
      </c>
      <c r="B243" s="10" t="n">
        <v>4.944</v>
      </c>
      <c r="C243" s="7" t="n">
        <f aca="false">(B243-B242)/B242*100</f>
        <v>0.573660441840596</v>
      </c>
    </row>
    <row r="244" customFormat="false" ht="15" hidden="false" customHeight="false" outlineLevel="0" collapsed="false">
      <c r="A244" s="6" t="s">
        <v>243</v>
      </c>
      <c r="B244" s="10" t="n">
        <v>4.9476</v>
      </c>
      <c r="C244" s="7" t="n">
        <f aca="false">(B244-B243)/B243*100</f>
        <v>0.0728155339805925</v>
      </c>
    </row>
    <row r="245" customFormat="false" ht="15" hidden="false" customHeight="false" outlineLevel="0" collapsed="false">
      <c r="A245" s="6" t="s">
        <v>244</v>
      </c>
      <c r="B245" s="10" t="n">
        <v>4.958</v>
      </c>
      <c r="C245" s="7" t="n">
        <f aca="false">(B245-B244)/B244*100</f>
        <v>0.210202926671512</v>
      </c>
    </row>
    <row r="246" customFormat="false" ht="15" hidden="false" customHeight="false" outlineLevel="0" collapsed="false">
      <c r="A246" s="6" t="s">
        <v>245</v>
      </c>
      <c r="B246" s="10" t="n">
        <v>4.8912</v>
      </c>
      <c r="C246" s="7" t="n">
        <f aca="false">(B246-B245)/B245*100</f>
        <v>-1.34731746672045</v>
      </c>
    </row>
    <row r="247" customFormat="false" ht="15" hidden="false" customHeight="false" outlineLevel="0" collapsed="false">
      <c r="A247" s="6" t="s">
        <v>246</v>
      </c>
      <c r="B247" s="10" t="n">
        <v>4.9397</v>
      </c>
      <c r="C247" s="7" t="n">
        <f aca="false">(B247-B246)/B246*100</f>
        <v>0.991576709192013</v>
      </c>
    </row>
    <row r="248" customFormat="false" ht="15" hidden="false" customHeight="false" outlineLevel="0" collapsed="false">
      <c r="A248" s="6" t="s">
        <v>247</v>
      </c>
      <c r="B248" s="10" t="n">
        <v>4.9399</v>
      </c>
      <c r="C248" s="7" t="n">
        <f aca="false">(B248-B247)/B247*100</f>
        <v>0.00404882887623811</v>
      </c>
    </row>
    <row r="249" customFormat="false" ht="15" hidden="false" customHeight="false" outlineLevel="0" collapsed="false">
      <c r="A249" s="6" t="s">
        <v>248</v>
      </c>
      <c r="B249" s="10" t="n">
        <v>4.8663</v>
      </c>
      <c r="C249" s="7" t="n">
        <f aca="false">(B249-B248)/B248*100</f>
        <v>-1.48990870260531</v>
      </c>
    </row>
    <row r="250" customFormat="false" ht="15" hidden="false" customHeight="false" outlineLevel="0" collapsed="false">
      <c r="A250" s="6" t="s">
        <v>249</v>
      </c>
      <c r="B250" s="10" t="n">
        <v>4.8766</v>
      </c>
      <c r="C250" s="7" t="n">
        <f aca="false">(B250-B249)/B249*100</f>
        <v>0.211659782586359</v>
      </c>
    </row>
    <row r="251" customFormat="false" ht="15" hidden="false" customHeight="false" outlineLevel="0" collapsed="false">
      <c r="A251" s="6" t="s">
        <v>250</v>
      </c>
      <c r="B251" s="10" t="n">
        <v>4.8755</v>
      </c>
      <c r="C251" s="7" t="n">
        <f aca="false">(B251-B250)/B250*100</f>
        <v>-0.022556699339706</v>
      </c>
    </row>
    <row r="252" customFormat="false" ht="15" hidden="false" customHeight="false" outlineLevel="0" collapsed="false">
      <c r="A252" s="6" t="s">
        <v>251</v>
      </c>
      <c r="B252" s="10" t="n">
        <v>4.8619</v>
      </c>
      <c r="C252" s="7" t="n">
        <f aca="false">(B252-B251)/B251*100</f>
        <v>-0.27894574915392</v>
      </c>
    </row>
    <row r="253" customFormat="false" ht="15" hidden="false" customHeight="false" outlineLevel="0" collapsed="false">
      <c r="A253" s="6" t="s">
        <v>252</v>
      </c>
      <c r="B253" s="10" t="n">
        <v>4.8368</v>
      </c>
      <c r="C253" s="7" t="n">
        <f aca="false">(B253-B252)/B252*100</f>
        <v>-0.516259075670008</v>
      </c>
    </row>
    <row r="254" customFormat="false" ht="15" hidden="false" customHeight="false" outlineLevel="0" collapsed="false">
      <c r="A254" s="6" t="s">
        <v>253</v>
      </c>
      <c r="B254" s="10" t="n">
        <v>4.8306</v>
      </c>
      <c r="C254" s="7" t="n">
        <f aca="false">(B254-B253)/B253*100</f>
        <v>-0.128183923255058</v>
      </c>
    </row>
    <row r="255" customFormat="false" ht="15" hidden="false" customHeight="false" outlineLevel="0" collapsed="false">
      <c r="A255" s="6" t="s">
        <v>254</v>
      </c>
      <c r="B255" s="10" t="n">
        <v>4.8413</v>
      </c>
      <c r="C255" s="7" t="n">
        <f aca="false">(B255-B254)/B254*100</f>
        <v>0.221504575001052</v>
      </c>
    </row>
    <row r="256" customFormat="false" ht="15" hidden="false" customHeight="false" outlineLevel="0" collapsed="false">
      <c r="A256" s="6" t="s">
        <v>255</v>
      </c>
      <c r="B256" s="10" t="n">
        <v>4.8413</v>
      </c>
      <c r="C256" s="7" t="n">
        <f aca="false">(B256-B255)/B255*100</f>
        <v>0</v>
      </c>
    </row>
    <row r="257" customFormat="false" ht="15" hidden="false" customHeight="false" outlineLevel="0" collapsed="false">
      <c r="A257" s="6" t="s">
        <v>256</v>
      </c>
      <c r="B257" s="10" t="n">
        <v>4.8916</v>
      </c>
      <c r="C257" s="7" t="n">
        <f aca="false">(B257-B256)/B256*100</f>
        <v>1.0389771342408</v>
      </c>
    </row>
    <row r="258" customFormat="false" ht="15" hidden="false" customHeight="false" outlineLevel="0" collapsed="false">
      <c r="A258" s="6" t="s">
        <v>257</v>
      </c>
      <c r="B258" s="10" t="n">
        <v>4.9212</v>
      </c>
      <c r="C258" s="7" t="n">
        <f aca="false">(B258-B257)/B257*100</f>
        <v>0.605118979475006</v>
      </c>
    </row>
    <row r="259" customFormat="false" ht="15" hidden="false" customHeight="false" outlineLevel="0" collapsed="false">
      <c r="A259" s="6" t="s">
        <v>258</v>
      </c>
      <c r="B259" s="10" t="n">
        <v>4.9188</v>
      </c>
      <c r="C259" s="7" t="n">
        <f aca="false">(B259-B258)/B258*100</f>
        <v>-0.0487685930260858</v>
      </c>
    </row>
    <row r="260" customFormat="false" ht="15" hidden="false" customHeight="false" outlineLevel="0" collapsed="false">
      <c r="A260" s="6" t="s">
        <v>259</v>
      </c>
      <c r="B260" s="10" t="n">
        <v>4.8899</v>
      </c>
      <c r="C260" s="7" t="n">
        <f aca="false">(B260-B259)/B259*100</f>
        <v>-0.587541676831751</v>
      </c>
    </row>
    <row r="261" customFormat="false" ht="15" hidden="false" customHeight="false" outlineLevel="0" collapsed="false">
      <c r="A261" s="6" t="s">
        <v>260</v>
      </c>
      <c r="B261" s="10" t="n">
        <v>4.885</v>
      </c>
      <c r="C261" s="7" t="n">
        <f aca="false">(B261-B260)/B260*100</f>
        <v>-0.100206548191172</v>
      </c>
    </row>
    <row r="262" customFormat="false" ht="15" hidden="false" customHeight="false" outlineLevel="0" collapsed="false">
      <c r="A262" s="6" t="s">
        <v>261</v>
      </c>
      <c r="B262" s="10" t="n">
        <v>4.8937</v>
      </c>
      <c r="C262" s="7" t="n">
        <f aca="false">(B262-B261)/B261*100</f>
        <v>0.178096212896625</v>
      </c>
    </row>
    <row r="263" customFormat="false" ht="15" hidden="false" customHeight="false" outlineLevel="0" collapsed="false">
      <c r="A263" s="6" t="s">
        <v>262</v>
      </c>
      <c r="B263" s="10" t="n">
        <v>4.8901</v>
      </c>
      <c r="C263" s="7" t="n">
        <f aca="false">(B263-B262)/B262*100</f>
        <v>-0.0735639700022397</v>
      </c>
    </row>
    <row r="264" customFormat="false" ht="15" hidden="false" customHeight="false" outlineLevel="0" collapsed="false">
      <c r="A264" s="6" t="s">
        <v>263</v>
      </c>
      <c r="B264" s="10" t="n">
        <v>4.8794</v>
      </c>
      <c r="C264" s="7" t="n">
        <f aca="false">(B264-B263)/B263*100</f>
        <v>-0.218809431299972</v>
      </c>
    </row>
    <row r="265" customFormat="false" ht="15" hidden="false" customHeight="false" outlineLevel="0" collapsed="false">
      <c r="A265" s="6" t="s">
        <v>264</v>
      </c>
      <c r="B265" s="10" t="n">
        <v>4.8543</v>
      </c>
      <c r="C265" s="7" t="n">
        <f aca="false">(B265-B264)/B264*100</f>
        <v>-0.514407509119976</v>
      </c>
    </row>
    <row r="266" customFormat="false" ht="15" hidden="false" customHeight="false" outlineLevel="0" collapsed="false">
      <c r="A266" s="6" t="s">
        <v>265</v>
      </c>
      <c r="B266" s="10" t="n">
        <v>4.8765</v>
      </c>
      <c r="C266" s="7" t="n">
        <f aca="false">(B266-B265)/B265*100</f>
        <v>0.457326494036211</v>
      </c>
    </row>
    <row r="267" customFormat="false" ht="15" hidden="false" customHeight="false" outlineLevel="0" collapsed="false">
      <c r="A267" s="6" t="s">
        <v>266</v>
      </c>
      <c r="B267" s="10" t="n">
        <v>4.9038</v>
      </c>
      <c r="C267" s="7" t="n">
        <f aca="false">(B267-B266)/B266*100</f>
        <v>0.559827745309142</v>
      </c>
    </row>
    <row r="268" customFormat="false" ht="15" hidden="false" customHeight="false" outlineLevel="0" collapsed="false">
      <c r="A268" s="6" t="s">
        <v>267</v>
      </c>
      <c r="B268" s="10" t="n">
        <v>4.9346</v>
      </c>
      <c r="C268" s="7" t="n">
        <f aca="false">(B268-B267)/B267*100</f>
        <v>0.628084342754584</v>
      </c>
    </row>
    <row r="269" customFormat="false" ht="15" hidden="false" customHeight="false" outlineLevel="0" collapsed="false">
      <c r="A269" s="6" t="s">
        <v>268</v>
      </c>
      <c r="B269" s="10" t="n">
        <v>4.9403</v>
      </c>
      <c r="C269" s="7" t="n">
        <f aca="false">(B269-B268)/B268*100</f>
        <v>0.115510882341021</v>
      </c>
    </row>
    <row r="270" customFormat="false" ht="15" hidden="false" customHeight="false" outlineLevel="0" collapsed="false">
      <c r="A270" s="6" t="s">
        <v>269</v>
      </c>
      <c r="B270" s="10" t="n">
        <v>4.9223</v>
      </c>
      <c r="C270" s="7" t="n">
        <f aca="false">(B270-B269)/B269*100</f>
        <v>-0.364350343096569</v>
      </c>
    </row>
    <row r="271" customFormat="false" ht="15" hidden="false" customHeight="false" outlineLevel="0" collapsed="false">
      <c r="A271" s="6" t="s">
        <v>270</v>
      </c>
      <c r="B271" s="10" t="n">
        <v>4.949</v>
      </c>
      <c r="C271" s="7" t="n">
        <f aca="false">(B271-B270)/B270*100</f>
        <v>0.542429352132132</v>
      </c>
    </row>
    <row r="272" customFormat="false" ht="15" hidden="false" customHeight="false" outlineLevel="0" collapsed="false">
      <c r="A272" s="6" t="s">
        <v>271</v>
      </c>
      <c r="B272" s="10" t="n">
        <v>4.9715</v>
      </c>
      <c r="C272" s="7" t="n">
        <f aca="false">(B272-B271)/B271*100</f>
        <v>0.45463730046474</v>
      </c>
    </row>
    <row r="273" customFormat="false" ht="15" hidden="false" customHeight="false" outlineLevel="0" collapsed="false">
      <c r="A273" s="6" t="s">
        <v>272</v>
      </c>
      <c r="B273" s="10" t="n">
        <v>4.9192</v>
      </c>
      <c r="C273" s="7" t="n">
        <f aca="false">(B273-B272)/B272*100</f>
        <v>-1.05199637936236</v>
      </c>
    </row>
    <row r="274" customFormat="false" ht="15" hidden="false" customHeight="false" outlineLevel="0" collapsed="false">
      <c r="A274" s="6" t="s">
        <v>273</v>
      </c>
      <c r="B274" s="10" t="n">
        <v>4.9232</v>
      </c>
      <c r="C274" s="7" t="n">
        <f aca="false">(B274-B273)/B273*100</f>
        <v>0.0813140348023979</v>
      </c>
    </row>
    <row r="275" customFormat="false" ht="15" hidden="false" customHeight="false" outlineLevel="0" collapsed="false">
      <c r="A275" s="6" t="s">
        <v>274</v>
      </c>
      <c r="B275" s="10" t="n">
        <v>4.9125</v>
      </c>
      <c r="C275" s="7" t="n">
        <f aca="false">(B275-B274)/B274*100</f>
        <v>-0.217338316542085</v>
      </c>
    </row>
    <row r="276" customFormat="false" ht="15" hidden="false" customHeight="false" outlineLevel="0" collapsed="false">
      <c r="A276" s="6" t="s">
        <v>275</v>
      </c>
      <c r="B276" s="10" t="n">
        <v>4.9225</v>
      </c>
      <c r="C276" s="7" t="n">
        <f aca="false">(B276-B275)/B275*100</f>
        <v>0.203562340966935</v>
      </c>
    </row>
    <row r="277" customFormat="false" ht="15" hidden="false" customHeight="false" outlineLevel="0" collapsed="false">
      <c r="A277" s="6" t="s">
        <v>276</v>
      </c>
      <c r="B277" s="10" t="n">
        <v>4.9638</v>
      </c>
      <c r="C277" s="7" t="n">
        <f aca="false">(B277-B276)/B276*100</f>
        <v>0.83900457084814</v>
      </c>
    </row>
    <row r="278" customFormat="false" ht="15" hidden="false" customHeight="false" outlineLevel="0" collapsed="false">
      <c r="A278" s="6" t="s">
        <v>277</v>
      </c>
      <c r="B278" s="10" t="n">
        <v>4.9535</v>
      </c>
      <c r="C278" s="7" t="n">
        <f aca="false">(B278-B277)/B277*100</f>
        <v>-0.207502316773439</v>
      </c>
    </row>
    <row r="279" customFormat="false" ht="15" hidden="false" customHeight="false" outlineLevel="0" collapsed="false">
      <c r="A279" s="6" t="s">
        <v>278</v>
      </c>
      <c r="B279" s="10" t="n">
        <v>4.935</v>
      </c>
      <c r="C279" s="7" t="n">
        <f aca="false">(B279-B278)/B278*100</f>
        <v>-0.373473301705873</v>
      </c>
    </row>
    <row r="280" customFormat="false" ht="15" hidden="false" customHeight="false" outlineLevel="0" collapsed="false">
      <c r="A280" s="6" t="s">
        <v>279</v>
      </c>
      <c r="B280" s="10" t="n">
        <v>4.9471</v>
      </c>
      <c r="C280" s="7" t="n">
        <f aca="false">(B280-B279)/B279*100</f>
        <v>0.245187436676803</v>
      </c>
    </row>
    <row r="281" customFormat="false" ht="15" hidden="false" customHeight="false" outlineLevel="0" collapsed="false">
      <c r="A281" s="6" t="s">
        <v>280</v>
      </c>
      <c r="B281" s="10" t="n">
        <v>5.0053</v>
      </c>
      <c r="C281" s="7" t="n">
        <f aca="false">(B281-B280)/B280*100</f>
        <v>1.1764468072204</v>
      </c>
    </row>
    <row r="282" customFormat="false" ht="15" hidden="false" customHeight="false" outlineLevel="0" collapsed="false">
      <c r="A282" s="6" t="s">
        <v>281</v>
      </c>
      <c r="B282" s="10" t="n">
        <v>4.9687</v>
      </c>
      <c r="C282" s="7" t="n">
        <f aca="false">(B282-B281)/B281*100</f>
        <v>-0.731224901604299</v>
      </c>
    </row>
    <row r="283" customFormat="false" ht="15" hidden="false" customHeight="false" outlineLevel="0" collapsed="false">
      <c r="A283" s="6" t="s">
        <v>282</v>
      </c>
      <c r="B283" s="10" t="n">
        <v>4.9608</v>
      </c>
      <c r="C283" s="7" t="n">
        <f aca="false">(B283-B282)/B282*100</f>
        <v>-0.15899531064464</v>
      </c>
    </row>
    <row r="284" customFormat="false" ht="15" hidden="false" customHeight="false" outlineLevel="0" collapsed="false">
      <c r="A284" s="6" t="s">
        <v>283</v>
      </c>
      <c r="B284" s="10" t="n">
        <v>4.9804</v>
      </c>
      <c r="C284" s="7" t="n">
        <f aca="false">(B284-B283)/B283*100</f>
        <v>0.395097564908896</v>
      </c>
    </row>
    <row r="285" customFormat="false" ht="15" hidden="false" customHeight="false" outlineLevel="0" collapsed="false">
      <c r="A285" s="6" t="s">
        <v>284</v>
      </c>
      <c r="B285" s="10" t="n">
        <v>4.9717</v>
      </c>
      <c r="C285" s="7" t="n">
        <f aca="false">(B285-B284)/B284*100</f>
        <v>-0.174684764275965</v>
      </c>
    </row>
    <row r="286" customFormat="false" ht="15" hidden="false" customHeight="false" outlineLevel="0" collapsed="false">
      <c r="A286" s="6" t="s">
        <v>285</v>
      </c>
      <c r="B286" s="10" t="n">
        <v>4.9723</v>
      </c>
      <c r="C286" s="7" t="n">
        <f aca="false">(B286-B285)/B285*100</f>
        <v>0.0120683066154331</v>
      </c>
    </row>
    <row r="287" customFormat="false" ht="15" hidden="false" customHeight="false" outlineLevel="0" collapsed="false">
      <c r="A287" s="6" t="s">
        <v>286</v>
      </c>
      <c r="B287" s="10" t="n">
        <v>4.971</v>
      </c>
      <c r="C287" s="7" t="n">
        <f aca="false">(B287-B286)/B286*100</f>
        <v>-0.0261448424270385</v>
      </c>
    </row>
    <row r="288" customFormat="false" ht="15" hidden="false" customHeight="false" outlineLevel="0" collapsed="false">
      <c r="A288" s="6" t="s">
        <v>287</v>
      </c>
      <c r="B288" s="10" t="n">
        <v>4.9761</v>
      </c>
      <c r="C288" s="7" t="n">
        <f aca="false">(B288-B287)/B287*100</f>
        <v>0.102595051297519</v>
      </c>
    </row>
    <row r="289" customFormat="false" ht="15" hidden="false" customHeight="false" outlineLevel="0" collapsed="false">
      <c r="A289" s="6" t="s">
        <v>288</v>
      </c>
      <c r="B289" s="10" t="n">
        <v>4.9585</v>
      </c>
      <c r="C289" s="7" t="n">
        <f aca="false">(B289-B288)/B288*100</f>
        <v>-0.353690641265245</v>
      </c>
    </row>
    <row r="290" customFormat="false" ht="15" hidden="false" customHeight="false" outlineLevel="0" collapsed="false">
      <c r="A290" s="6" t="s">
        <v>289</v>
      </c>
      <c r="B290" s="10" t="n">
        <v>4.9408</v>
      </c>
      <c r="C290" s="7" t="n">
        <f aca="false">(B290-B289)/B289*100</f>
        <v>-0.356962791166676</v>
      </c>
    </row>
    <row r="291" customFormat="false" ht="15" hidden="false" customHeight="false" outlineLevel="0" collapsed="false">
      <c r="A291" s="6" t="s">
        <v>290</v>
      </c>
      <c r="B291" s="10" t="n">
        <v>4.9303</v>
      </c>
      <c r="C291" s="7" t="n">
        <f aca="false">(B291-B290)/B290*100</f>
        <v>-0.212516191709853</v>
      </c>
    </row>
    <row r="292" customFormat="false" ht="15" hidden="false" customHeight="false" outlineLevel="0" collapsed="false">
      <c r="A292" s="6" t="s">
        <v>291</v>
      </c>
      <c r="B292" s="10" t="n">
        <v>4.9419</v>
      </c>
      <c r="C292" s="7" t="n">
        <f aca="false">(B292-B291)/B291*100</f>
        <v>0.235279800417835</v>
      </c>
    </row>
    <row r="293" customFormat="false" ht="15" hidden="false" customHeight="false" outlineLevel="0" collapsed="false">
      <c r="A293" s="6" t="s">
        <v>292</v>
      </c>
      <c r="B293" s="10" t="n">
        <v>4.9851</v>
      </c>
      <c r="C293" s="7" t="n">
        <f aca="false">(B293-B292)/B292*100</f>
        <v>0.874157712620646</v>
      </c>
    </row>
    <row r="294" customFormat="false" ht="15" hidden="false" customHeight="false" outlineLevel="0" collapsed="false">
      <c r="A294" s="6" t="s">
        <v>293</v>
      </c>
      <c r="B294" s="10" t="n">
        <v>4.9819</v>
      </c>
      <c r="C294" s="7" t="n">
        <f aca="false">(B294-B293)/B293*100</f>
        <v>-0.064191290044325</v>
      </c>
    </row>
    <row r="295" customFormat="false" ht="15" hidden="false" customHeight="false" outlineLevel="0" collapsed="false">
      <c r="A295" s="6" t="s">
        <v>294</v>
      </c>
      <c r="B295" s="10" t="n">
        <v>4.9575</v>
      </c>
      <c r="C295" s="7" t="n">
        <f aca="false">(B295-B294)/B294*100</f>
        <v>-0.489772978181033</v>
      </c>
    </row>
    <row r="296" customFormat="false" ht="15" hidden="false" customHeight="false" outlineLevel="0" collapsed="false">
      <c r="A296" s="6" t="s">
        <v>295</v>
      </c>
      <c r="B296" s="10" t="n">
        <v>4.9557</v>
      </c>
      <c r="C296" s="7" t="n">
        <f aca="false">(B296-B295)/B295*100</f>
        <v>-0.0363086232980203</v>
      </c>
    </row>
    <row r="297" customFormat="false" ht="15" hidden="false" customHeight="false" outlineLevel="0" collapsed="false">
      <c r="A297" s="6" t="s">
        <v>296</v>
      </c>
      <c r="B297" s="10" t="n">
        <v>4.9833</v>
      </c>
      <c r="C297" s="7" t="n">
        <f aca="false">(B297-B296)/B296*100</f>
        <v>0.55693443913069</v>
      </c>
    </row>
    <row r="298" customFormat="false" ht="15" hidden="false" customHeight="false" outlineLevel="0" collapsed="false">
      <c r="A298" s="6" t="s">
        <v>297</v>
      </c>
      <c r="B298" s="10" t="n">
        <v>4.9596</v>
      </c>
      <c r="C298" s="7" t="n">
        <f aca="false">(B298-B297)/B297*100</f>
        <v>-0.475588465474682</v>
      </c>
    </row>
    <row r="299" customFormat="false" ht="15" hidden="false" customHeight="false" outlineLevel="0" collapsed="false">
      <c r="A299" s="6" t="s">
        <v>298</v>
      </c>
      <c r="B299" s="10" t="n">
        <v>4.9475</v>
      </c>
      <c r="C299" s="7" t="n">
        <f aca="false">(B299-B298)/B298*100</f>
        <v>-0.243971288007102</v>
      </c>
    </row>
    <row r="300" customFormat="false" ht="15" hidden="false" customHeight="false" outlineLevel="0" collapsed="false">
      <c r="A300" s="6" t="s">
        <v>299</v>
      </c>
      <c r="B300" s="10" t="n">
        <v>4.9488</v>
      </c>
      <c r="C300" s="7" t="n">
        <f aca="false">(B300-B299)/B299*100</f>
        <v>0.0262758969176457</v>
      </c>
    </row>
    <row r="301" customFormat="false" ht="15" hidden="false" customHeight="false" outlineLevel="0" collapsed="false">
      <c r="A301" s="6" t="s">
        <v>300</v>
      </c>
      <c r="B301" s="10" t="n">
        <v>4.9398</v>
      </c>
      <c r="C301" s="7" t="n">
        <f aca="false">(B301-B300)/B300*100</f>
        <v>-0.181862269641132</v>
      </c>
    </row>
    <row r="302" customFormat="false" ht="15" hidden="false" customHeight="false" outlineLevel="0" collapsed="false">
      <c r="A302" s="6" t="s">
        <v>301</v>
      </c>
      <c r="B302" s="10" t="n">
        <v>4.9364</v>
      </c>
      <c r="C302" s="7" t="n">
        <f aca="false">(B302-B301)/B301*100</f>
        <v>-0.0688286975181196</v>
      </c>
    </row>
    <row r="303" customFormat="false" ht="15" hidden="false" customHeight="false" outlineLevel="0" collapsed="false">
      <c r="A303" s="6" t="s">
        <v>302</v>
      </c>
      <c r="B303" s="10" t="n">
        <v>4.9751</v>
      </c>
      <c r="C303" s="7" t="n">
        <f aca="false">(B303-B302)/B302*100</f>
        <v>0.783972125435548</v>
      </c>
    </row>
    <row r="304" customFormat="false" ht="15" hidden="false" customHeight="false" outlineLevel="0" collapsed="false">
      <c r="A304" s="6" t="s">
        <v>303</v>
      </c>
      <c r="B304" s="10" t="n">
        <v>4.9777</v>
      </c>
      <c r="C304" s="7" t="n">
        <f aca="false">(B304-B303)/B303*100</f>
        <v>0.0522602560752401</v>
      </c>
    </row>
    <row r="305" customFormat="false" ht="15" hidden="false" customHeight="false" outlineLevel="0" collapsed="false">
      <c r="A305" s="6" t="s">
        <v>304</v>
      </c>
      <c r="B305" s="10" t="n">
        <v>4.9813</v>
      </c>
      <c r="C305" s="7" t="n">
        <f aca="false">(B305-B304)/B304*100</f>
        <v>0.0723225586114168</v>
      </c>
    </row>
    <row r="306" customFormat="false" ht="15" hidden="false" customHeight="false" outlineLevel="0" collapsed="false">
      <c r="A306" s="6" t="s">
        <v>305</v>
      </c>
      <c r="B306" s="10" t="n">
        <v>4.9803</v>
      </c>
      <c r="C306" s="7" t="n">
        <f aca="false">(B306-B305)/B305*100</f>
        <v>-0.0200750808022069</v>
      </c>
    </row>
    <row r="307" customFormat="false" ht="15" hidden="false" customHeight="false" outlineLevel="0" collapsed="false">
      <c r="A307" s="6" t="s">
        <v>306</v>
      </c>
      <c r="B307" s="10" t="n">
        <v>4.9768</v>
      </c>
      <c r="C307" s="7" t="n">
        <f aca="false">(B307-B306)/B306*100</f>
        <v>-0.0702768909503411</v>
      </c>
    </row>
    <row r="308" customFormat="false" ht="15" hidden="false" customHeight="false" outlineLevel="0" collapsed="false">
      <c r="A308" s="6" t="s">
        <v>307</v>
      </c>
      <c r="B308" s="10" t="n">
        <v>4.9937</v>
      </c>
      <c r="C308" s="7" t="n">
        <f aca="false">(B308-B307)/B307*100</f>
        <v>0.339575630927498</v>
      </c>
    </row>
    <row r="309" customFormat="false" ht="15" hidden="false" customHeight="false" outlineLevel="0" collapsed="false">
      <c r="A309" s="6" t="s">
        <v>308</v>
      </c>
      <c r="B309" s="10" t="n">
        <v>5.0124</v>
      </c>
      <c r="C309" s="7" t="n">
        <f aca="false">(B309-B308)/B308*100</f>
        <v>0.374471834511501</v>
      </c>
    </row>
    <row r="310" customFormat="false" ht="15" hidden="false" customHeight="false" outlineLevel="0" collapsed="false">
      <c r="A310" s="6" t="s">
        <v>309</v>
      </c>
      <c r="B310" s="10" t="n">
        <v>5.0352</v>
      </c>
      <c r="C310" s="7" t="n">
        <f aca="false">(B310-B309)/B309*100</f>
        <v>0.454871917644228</v>
      </c>
    </row>
    <row r="311" customFormat="false" ht="15" hidden="false" customHeight="false" outlineLevel="0" collapsed="false">
      <c r="A311" s="6" t="s">
        <v>310</v>
      </c>
      <c r="B311" s="10" t="n">
        <v>5.012</v>
      </c>
      <c r="C311" s="7" t="n">
        <f aca="false">(B311-B310)/B310*100</f>
        <v>-0.460756275818242</v>
      </c>
    </row>
    <row r="312" customFormat="false" ht="15" hidden="false" customHeight="false" outlineLevel="0" collapsed="false">
      <c r="A312" s="6" t="s">
        <v>311</v>
      </c>
      <c r="B312" s="10" t="n">
        <v>4.9807</v>
      </c>
      <c r="C312" s="7" t="n">
        <f aca="false">(B312-B311)/B311*100</f>
        <v>-0.624501197126893</v>
      </c>
    </row>
    <row r="313" customFormat="false" ht="15" hidden="false" customHeight="false" outlineLevel="0" collapsed="false">
      <c r="A313" s="6" t="s">
        <v>312</v>
      </c>
      <c r="B313" s="10" t="n">
        <v>4.9897</v>
      </c>
      <c r="C313" s="7" t="n">
        <f aca="false">(B313-B312)/B312*100</f>
        <v>0.180697492320363</v>
      </c>
    </row>
    <row r="314" customFormat="false" ht="15" hidden="false" customHeight="false" outlineLevel="0" collapsed="false">
      <c r="A314" s="6" t="s">
        <v>313</v>
      </c>
      <c r="B314" s="10" t="n">
        <v>4.9869</v>
      </c>
      <c r="C314" s="7" t="n">
        <f aca="false">(B314-B313)/B313*100</f>
        <v>-0.0561155981321461</v>
      </c>
    </row>
    <row r="315" customFormat="false" ht="15" hidden="false" customHeight="false" outlineLevel="0" collapsed="false">
      <c r="A315" s="6" t="s">
        <v>314</v>
      </c>
      <c r="B315" s="10" t="n">
        <v>4.987</v>
      </c>
      <c r="C315" s="7" t="n">
        <f aca="false">(B315-B314)/B314*100</f>
        <v>0.00200525376485927</v>
      </c>
    </row>
    <row r="316" customFormat="false" ht="15" hidden="false" customHeight="false" outlineLevel="0" collapsed="false">
      <c r="A316" s="6" t="s">
        <v>315</v>
      </c>
      <c r="B316" s="10" t="n">
        <v>4.9856</v>
      </c>
      <c r="C316" s="7" t="n">
        <f aca="false">(B316-B315)/B315*100</f>
        <v>-0.0280729897734167</v>
      </c>
    </row>
    <row r="317" customFormat="false" ht="15" hidden="false" customHeight="false" outlineLevel="0" collapsed="false">
      <c r="A317" s="6" t="s">
        <v>316</v>
      </c>
      <c r="B317" s="10" t="n">
        <v>4.9962</v>
      </c>
      <c r="C317" s="7" t="n">
        <f aca="false">(B317-B316)/B316*100</f>
        <v>0.212612323491659</v>
      </c>
    </row>
    <row r="318" customFormat="false" ht="15" hidden="false" customHeight="false" outlineLevel="0" collapsed="false">
      <c r="A318" s="6" t="s">
        <v>317</v>
      </c>
      <c r="B318" s="10" t="n">
        <v>5.0532</v>
      </c>
      <c r="C318" s="7" t="n">
        <f aca="false">(B318-B317)/B317*100</f>
        <v>1.14086705896482</v>
      </c>
    </row>
    <row r="319" customFormat="false" ht="15" hidden="false" customHeight="false" outlineLevel="0" collapsed="false">
      <c r="A319" s="6" t="s">
        <v>318</v>
      </c>
      <c r="B319" s="10" t="n">
        <v>5.0476</v>
      </c>
      <c r="C319" s="7" t="n">
        <f aca="false">(B319-B318)/B318*100</f>
        <v>-0.110820865985915</v>
      </c>
    </row>
    <row r="320" customFormat="false" ht="15" hidden="false" customHeight="false" outlineLevel="0" collapsed="false">
      <c r="A320" s="6" t="s">
        <v>319</v>
      </c>
      <c r="B320" s="10" t="n">
        <v>5.0724</v>
      </c>
      <c r="C320" s="7" t="n">
        <f aca="false">(B320-B319)/B319*100</f>
        <v>0.49132260876456</v>
      </c>
    </row>
    <row r="321" customFormat="false" ht="15" hidden="false" customHeight="false" outlineLevel="0" collapsed="false">
      <c r="A321" s="6" t="s">
        <v>320</v>
      </c>
      <c r="B321" s="10" t="n">
        <v>5.0237</v>
      </c>
      <c r="C321" s="7" t="n">
        <f aca="false">(B321-B320)/B320*100</f>
        <v>-0.960097784086432</v>
      </c>
    </row>
    <row r="322" customFormat="false" ht="15" hidden="false" customHeight="false" outlineLevel="0" collapsed="false">
      <c r="A322" s="6" t="s">
        <v>321</v>
      </c>
      <c r="B322" s="10" t="n">
        <v>5.052</v>
      </c>
      <c r="C322" s="7" t="n">
        <f aca="false">(B322-B321)/B321*100</f>
        <v>0.563329816668984</v>
      </c>
    </row>
    <row r="323" customFormat="false" ht="15" hidden="false" customHeight="false" outlineLevel="0" collapsed="false">
      <c r="A323" s="6" t="s">
        <v>322</v>
      </c>
      <c r="B323" s="10" t="n">
        <v>5.0421</v>
      </c>
      <c r="C323" s="7" t="n">
        <f aca="false">(B323-B322)/B322*100</f>
        <v>-0.195961995249407</v>
      </c>
    </row>
    <row r="324" customFormat="false" ht="15" hidden="false" customHeight="false" outlineLevel="0" collapsed="false">
      <c r="A324" s="6" t="s">
        <v>323</v>
      </c>
      <c r="B324" s="10" t="n">
        <v>5.008</v>
      </c>
      <c r="C324" s="7" t="n">
        <f aca="false">(B324-B323)/B323*100</f>
        <v>-0.676305507625783</v>
      </c>
    </row>
    <row r="325" customFormat="false" ht="15" hidden="false" customHeight="false" outlineLevel="0" collapsed="false">
      <c r="A325" s="6" t="s">
        <v>324</v>
      </c>
      <c r="B325" s="10" t="n">
        <v>5.0654</v>
      </c>
      <c r="C325" s="7" t="n">
        <f aca="false">(B325-B324)/B324*100</f>
        <v>1.14616613418531</v>
      </c>
    </row>
    <row r="326" customFormat="false" ht="15" hidden="false" customHeight="false" outlineLevel="0" collapsed="false">
      <c r="A326" s="6" t="s">
        <v>325</v>
      </c>
      <c r="B326" s="10" t="n">
        <v>5.0765</v>
      </c>
      <c r="C326" s="7" t="n">
        <f aca="false">(B326-B325)/B325*100</f>
        <v>0.219133730801119</v>
      </c>
    </row>
    <row r="327" customFormat="false" ht="15" hidden="false" customHeight="false" outlineLevel="0" collapsed="false">
      <c r="A327" s="6" t="s">
        <v>326</v>
      </c>
      <c r="B327" s="10" t="n">
        <v>5.1364</v>
      </c>
      <c r="C327" s="7" t="n">
        <f aca="false">(B327-B326)/B326*100</f>
        <v>1.17994681374963</v>
      </c>
    </row>
    <row r="328" customFormat="false" ht="15" hidden="false" customHeight="false" outlineLevel="0" collapsed="false">
      <c r="A328" s="6" t="s">
        <v>327</v>
      </c>
      <c r="B328" s="10" t="n">
        <v>5.1746</v>
      </c>
      <c r="C328" s="7" t="n">
        <f aca="false">(B328-B327)/B327*100</f>
        <v>0.743711548944782</v>
      </c>
    </row>
    <row r="329" customFormat="false" ht="15" hidden="false" customHeight="false" outlineLevel="0" collapsed="false">
      <c r="A329" s="6" t="s">
        <v>328</v>
      </c>
      <c r="B329" s="10" t="n">
        <v>5.2635</v>
      </c>
      <c r="C329" s="7" t="n">
        <f aca="false">(B329-B328)/B328*100</f>
        <v>1.71800718896146</v>
      </c>
    </row>
    <row r="330" customFormat="false" ht="15" hidden="false" customHeight="false" outlineLevel="0" collapsed="false">
      <c r="A330" s="6" t="s">
        <v>329</v>
      </c>
      <c r="B330" s="10" t="n">
        <v>5.2469</v>
      </c>
      <c r="C330" s="7" t="n">
        <f aca="false">(B330-B329)/B329*100</f>
        <v>-0.315379500332469</v>
      </c>
    </row>
    <row r="331" customFormat="false" ht="15" hidden="false" customHeight="false" outlineLevel="0" collapsed="false">
      <c r="A331" s="6" t="s">
        <v>330</v>
      </c>
      <c r="B331" s="10" t="n">
        <v>5.2512</v>
      </c>
      <c r="C331" s="7" t="n">
        <f aca="false">(B331-B330)/B330*100</f>
        <v>0.0819531532905096</v>
      </c>
    </row>
    <row r="332" customFormat="false" ht="15" hidden="false" customHeight="false" outlineLevel="0" collapsed="false">
      <c r="A332" s="6" t="s">
        <v>331</v>
      </c>
      <c r="B332" s="10" t="n">
        <v>5.2269</v>
      </c>
      <c r="C332" s="7" t="n">
        <f aca="false">(B332-B331)/B331*100</f>
        <v>-0.462751371115178</v>
      </c>
    </row>
    <row r="333" customFormat="false" ht="15" hidden="false" customHeight="false" outlineLevel="0" collapsed="false">
      <c r="A333" s="6" t="s">
        <v>332</v>
      </c>
      <c r="B333" s="10" t="n">
        <v>5.2043</v>
      </c>
      <c r="C333" s="7" t="n">
        <f aca="false">(B333-B332)/B332*100</f>
        <v>-0.432378656565072</v>
      </c>
    </row>
    <row r="334" customFormat="false" ht="15" hidden="false" customHeight="false" outlineLevel="0" collapsed="false">
      <c r="A334" s="6" t="s">
        <v>333</v>
      </c>
      <c r="B334" s="10" t="n">
        <v>5.1626</v>
      </c>
      <c r="C334" s="7" t="n">
        <f aca="false">(B334-B333)/B333*100</f>
        <v>-0.801260496128194</v>
      </c>
    </row>
    <row r="335" customFormat="false" ht="15" hidden="false" customHeight="false" outlineLevel="0" collapsed="false">
      <c r="A335" s="6" t="s">
        <v>334</v>
      </c>
      <c r="B335" s="10" t="n">
        <v>5.1592</v>
      </c>
      <c r="C335" s="7" t="n">
        <f aca="false">(B335-B334)/B334*100</f>
        <v>-0.0658582884593048</v>
      </c>
    </row>
    <row r="336" customFormat="false" ht="15" hidden="false" customHeight="false" outlineLevel="0" collapsed="false">
      <c r="A336" s="6" t="s">
        <v>335</v>
      </c>
      <c r="B336" s="10" t="n">
        <v>5.1679</v>
      </c>
      <c r="C336" s="7" t="n">
        <f aca="false">(B336-B335)/B335*100</f>
        <v>0.168630795472169</v>
      </c>
    </row>
    <row r="337" customFormat="false" ht="15" hidden="false" customHeight="false" outlineLevel="0" collapsed="false">
      <c r="A337" s="6" t="s">
        <v>336</v>
      </c>
      <c r="B337" s="10" t="n">
        <v>5.1184</v>
      </c>
      <c r="C337" s="7" t="n">
        <f aca="false">(B337-B336)/B336*100</f>
        <v>-0.957835871437143</v>
      </c>
    </row>
    <row r="338" customFormat="false" ht="15" hidden="false" customHeight="false" outlineLevel="0" collapsed="false">
      <c r="A338" s="6" t="s">
        <v>337</v>
      </c>
      <c r="B338" s="10" t="n">
        <v>5.1155</v>
      </c>
      <c r="C338" s="7" t="n">
        <f aca="false">(B338-B337)/B337*100</f>
        <v>-0.0566583307283594</v>
      </c>
    </row>
    <row r="339" customFormat="false" ht="15" hidden="false" customHeight="false" outlineLevel="0" collapsed="false">
      <c r="A339" s="6" t="s">
        <v>338</v>
      </c>
      <c r="B339" s="10" t="n">
        <v>5.1718</v>
      </c>
      <c r="C339" s="7" t="n">
        <f aca="false">(B339-B338)/B338*100</f>
        <v>1.10057667872154</v>
      </c>
    </row>
    <row r="340" customFormat="false" ht="15" hidden="false" customHeight="false" outlineLevel="0" collapsed="false">
      <c r="A340" s="6" t="s">
        <v>339</v>
      </c>
      <c r="B340" s="10" t="n">
        <v>5.1184</v>
      </c>
      <c r="C340" s="7" t="n">
        <f aca="false">(B340-B339)/B339*100</f>
        <v>-1.03252252600642</v>
      </c>
    </row>
    <row r="341" customFormat="false" ht="15" hidden="false" customHeight="false" outlineLevel="0" collapsed="false">
      <c r="A341" s="6" t="s">
        <v>340</v>
      </c>
      <c r="B341" s="10" t="n">
        <v>5.0668</v>
      </c>
      <c r="C341" s="7" t="n">
        <f aca="false">(B341-B340)/B340*100</f>
        <v>-1.00812753985622</v>
      </c>
    </row>
    <row r="342" customFormat="false" ht="15" hidden="false" customHeight="false" outlineLevel="0" collapsed="false">
      <c r="A342" s="6" t="s">
        <v>341</v>
      </c>
      <c r="B342" s="10" t="n">
        <v>5.0727</v>
      </c>
      <c r="C342" s="7" t="n">
        <f aca="false">(B342-B341)/B341*100</f>
        <v>0.11644430409727</v>
      </c>
    </row>
    <row r="343" customFormat="false" ht="15" hidden="false" customHeight="false" outlineLevel="0" collapsed="false">
      <c r="A343" s="6" t="s">
        <v>342</v>
      </c>
      <c r="B343" s="10" t="n">
        <v>5.061</v>
      </c>
      <c r="C343" s="7" t="n">
        <f aca="false">(B343-B342)/B342*100</f>
        <v>-0.230646401324744</v>
      </c>
    </row>
    <row r="344" customFormat="false" ht="15" hidden="false" customHeight="false" outlineLevel="0" collapsed="false">
      <c r="A344" s="6" t="s">
        <v>343</v>
      </c>
      <c r="B344" s="10" t="n">
        <v>5.0887</v>
      </c>
      <c r="C344" s="7" t="n">
        <f aca="false">(B344-B343)/B343*100</f>
        <v>0.547322663505242</v>
      </c>
    </row>
    <row r="345" customFormat="false" ht="15" hidden="false" customHeight="false" outlineLevel="0" collapsed="false">
      <c r="A345" s="6" t="s">
        <v>344</v>
      </c>
      <c r="B345" s="10" t="n">
        <v>5.1577</v>
      </c>
      <c r="C345" s="7" t="n">
        <f aca="false">(B345-B344)/B344*100</f>
        <v>1.35594552636233</v>
      </c>
    </row>
    <row r="346" customFormat="false" ht="15" hidden="false" customHeight="false" outlineLevel="0" collapsed="false">
      <c r="A346" s="6" t="s">
        <v>345</v>
      </c>
      <c r="B346" s="10" t="n">
        <v>5.1464</v>
      </c>
      <c r="C346" s="7" t="n">
        <f aca="false">(B346-B345)/B345*100</f>
        <v>-0.219089904414765</v>
      </c>
    </row>
    <row r="347" customFormat="false" ht="15" hidden="false" customHeight="false" outlineLevel="0" collapsed="false">
      <c r="A347" s="6" t="s">
        <v>346</v>
      </c>
      <c r="B347" s="10" t="n">
        <v>5.1412</v>
      </c>
      <c r="C347" s="7" t="n">
        <f aca="false">(B347-B346)/B346*100</f>
        <v>-0.101041504741167</v>
      </c>
    </row>
    <row r="348" customFormat="false" ht="15" hidden="false" customHeight="false" outlineLevel="0" collapsed="false">
      <c r="A348" s="6" t="s">
        <v>347</v>
      </c>
      <c r="B348" s="10" t="n">
        <v>5.1356</v>
      </c>
      <c r="C348" s="7" t="n">
        <f aca="false">(B348-B347)/B347*100</f>
        <v>-0.108923986617915</v>
      </c>
    </row>
    <row r="349" customFormat="false" ht="15" hidden="false" customHeight="false" outlineLevel="0" collapsed="false">
      <c r="A349" s="6" t="s">
        <v>348</v>
      </c>
      <c r="B349" s="10" t="n">
        <v>5.1423</v>
      </c>
      <c r="C349" s="7" t="n">
        <f aca="false">(B349-B348)/B348*100</f>
        <v>0.130461873977714</v>
      </c>
    </row>
    <row r="350" customFormat="false" ht="15" hidden="false" customHeight="false" outlineLevel="0" collapsed="false">
      <c r="A350" s="6" t="s">
        <v>349</v>
      </c>
      <c r="B350" s="10" t="n">
        <v>5.127</v>
      </c>
      <c r="C350" s="7" t="n">
        <f aca="false">(B350-B349)/B349*100</f>
        <v>-0.297532232658536</v>
      </c>
    </row>
    <row r="351" customFormat="false" ht="15" hidden="false" customHeight="false" outlineLevel="0" collapsed="false">
      <c r="A351" s="6" t="s">
        <v>350</v>
      </c>
      <c r="B351" s="10" t="n">
        <v>5.1157</v>
      </c>
      <c r="C351" s="7" t="n">
        <f aca="false">(B351-B350)/B350*100</f>
        <v>-0.220401794421678</v>
      </c>
    </row>
    <row r="352" customFormat="false" ht="15" hidden="false" customHeight="false" outlineLevel="0" collapsed="false">
      <c r="A352" s="6" t="s">
        <v>351</v>
      </c>
      <c r="B352" s="10" t="n">
        <v>5.1085</v>
      </c>
      <c r="C352" s="7" t="n">
        <f aca="false">(B352-B351)/B351*100</f>
        <v>-0.140743202298808</v>
      </c>
    </row>
    <row r="353" customFormat="false" ht="15" hidden="false" customHeight="false" outlineLevel="0" collapsed="false">
      <c r="A353" s="6" t="s">
        <v>352</v>
      </c>
      <c r="B353" s="10" t="n">
        <v>5.1037</v>
      </c>
      <c r="C353" s="7" t="n">
        <f aca="false">(B353-B352)/B352*100</f>
        <v>-0.0939610453166362</v>
      </c>
    </row>
    <row r="354" customFormat="false" ht="15" hidden="false" customHeight="false" outlineLevel="0" collapsed="false">
      <c r="A354" s="6" t="s">
        <v>353</v>
      </c>
      <c r="B354" s="10" t="n">
        <v>5.1502</v>
      </c>
      <c r="C354" s="7" t="n">
        <f aca="false">(B354-B353)/B353*100</f>
        <v>0.911103709073809</v>
      </c>
    </row>
    <row r="355" customFormat="false" ht="15" hidden="false" customHeight="false" outlineLevel="0" collapsed="false">
      <c r="A355" s="6" t="s">
        <v>354</v>
      </c>
      <c r="B355" s="10" t="n">
        <v>5.1443</v>
      </c>
      <c r="C355" s="7" t="n">
        <f aca="false">(B355-B354)/B354*100</f>
        <v>-0.114558657916189</v>
      </c>
    </row>
    <row r="356" customFormat="false" ht="15" hidden="false" customHeight="false" outlineLevel="0" collapsed="false">
      <c r="A356" s="6" t="s">
        <v>355</v>
      </c>
      <c r="B356" s="10" t="n">
        <v>5.1508</v>
      </c>
      <c r="C356" s="7" t="n">
        <f aca="false">(B356-B355)/B355*100</f>
        <v>0.126353439729408</v>
      </c>
    </row>
    <row r="357" customFormat="false" ht="15" hidden="false" customHeight="false" outlineLevel="0" collapsed="false">
      <c r="A357" s="6" t="s">
        <v>356</v>
      </c>
      <c r="B357" s="10" t="n">
        <v>5.1704</v>
      </c>
      <c r="C357" s="7" t="n">
        <f aca="false">(B357-B356)/B356*100</f>
        <v>0.38052341383862</v>
      </c>
    </row>
    <row r="358" customFormat="false" ht="15" hidden="false" customHeight="false" outlineLevel="0" collapsed="false">
      <c r="A358" s="6" t="s">
        <v>357</v>
      </c>
      <c r="B358" s="10" t="n">
        <v>5.1538</v>
      </c>
      <c r="C358" s="7" t="n">
        <f aca="false">(B358-B357)/B357*100</f>
        <v>-0.321058332043933</v>
      </c>
    </row>
    <row r="359" customFormat="false" ht="15" hidden="false" customHeight="false" outlineLevel="0" collapsed="false">
      <c r="A359" s="6" t="s">
        <v>358</v>
      </c>
      <c r="B359" s="10" t="n">
        <v>5.1972</v>
      </c>
      <c r="C359" s="7" t="n">
        <f aca="false">(B359-B358)/B358*100</f>
        <v>0.842097093406791</v>
      </c>
    </row>
    <row r="360" customFormat="false" ht="15" hidden="false" customHeight="false" outlineLevel="0" collapsed="false">
      <c r="A360" s="6" t="s">
        <v>359</v>
      </c>
      <c r="B360" s="10" t="n">
        <v>5.2416</v>
      </c>
      <c r="C360" s="7" t="n">
        <f aca="false">(B360-B359)/B359*100</f>
        <v>0.854306164858009</v>
      </c>
    </row>
    <row r="361" customFormat="false" ht="15" hidden="false" customHeight="false" outlineLevel="0" collapsed="false">
      <c r="A361" s="6" t="s">
        <v>360</v>
      </c>
      <c r="B361" s="10" t="n">
        <v>5.2373</v>
      </c>
      <c r="C361" s="7" t="n">
        <f aca="false">(B361-B360)/B360*100</f>
        <v>-0.0820360195360147</v>
      </c>
    </row>
    <row r="362" customFormat="false" ht="15" hidden="false" customHeight="false" outlineLevel="0" collapsed="false">
      <c r="A362" s="6" t="s">
        <v>361</v>
      </c>
      <c r="B362" s="10" t="n">
        <v>5.2687</v>
      </c>
      <c r="C362" s="7" t="n">
        <f aca="false">(B362-B361)/B361*100</f>
        <v>0.599545567372494</v>
      </c>
    </row>
    <row r="363" customFormat="false" ht="15" hidden="false" customHeight="false" outlineLevel="0" collapsed="false">
      <c r="A363" s="6" t="s">
        <v>362</v>
      </c>
      <c r="B363" s="10" t="n">
        <v>5.2841</v>
      </c>
      <c r="C363" s="7" t="n">
        <f aca="false">(B363-B362)/B362*100</f>
        <v>0.292292216296233</v>
      </c>
    </row>
    <row r="364" customFormat="false" ht="15" hidden="false" customHeight="false" outlineLevel="0" collapsed="false">
      <c r="A364" s="6" t="s">
        <v>363</v>
      </c>
      <c r="B364" s="10" t="n">
        <v>5.2681</v>
      </c>
      <c r="C364" s="7" t="n">
        <f aca="false">(B364-B363)/B363*100</f>
        <v>-0.302795177986791</v>
      </c>
    </row>
    <row r="365" customFormat="false" ht="15" hidden="false" customHeight="false" outlineLevel="0" collapsed="false">
      <c r="A365" s="6" t="s">
        <v>364</v>
      </c>
      <c r="B365" s="10" t="n">
        <v>5.2802</v>
      </c>
      <c r="C365" s="7" t="n">
        <f aca="false">(B365-B364)/B364*100</f>
        <v>0.229684326417498</v>
      </c>
    </row>
    <row r="366" customFormat="false" ht="15" hidden="false" customHeight="false" outlineLevel="0" collapsed="false">
      <c r="A366" s="6" t="s">
        <v>365</v>
      </c>
      <c r="B366" s="10" t="n">
        <v>5.3666</v>
      </c>
      <c r="C366" s="7" t="n">
        <f aca="false">(B366-B365)/B365*100</f>
        <v>1.63630165524034</v>
      </c>
    </row>
    <row r="367" customFormat="false" ht="15" hidden="false" customHeight="false" outlineLevel="0" collapsed="false">
      <c r="A367" s="6" t="s">
        <v>366</v>
      </c>
      <c r="B367" s="10" t="n">
        <v>5.3524</v>
      </c>
      <c r="C367" s="7" t="n">
        <f aca="false">(B367-B366)/B366*100</f>
        <v>-0.26459956024298</v>
      </c>
    </row>
    <row r="368" customFormat="false" ht="15" hidden="false" customHeight="false" outlineLevel="0" collapsed="false">
      <c r="A368" s="6" t="s">
        <v>367</v>
      </c>
      <c r="B368" s="10" t="n">
        <v>5.3891</v>
      </c>
      <c r="C368" s="7" t="n">
        <f aca="false">(B368-B367)/B367*100</f>
        <v>0.685673716463638</v>
      </c>
    </row>
    <row r="369" customFormat="false" ht="15" hidden="false" customHeight="false" outlineLevel="0" collapsed="false">
      <c r="A369" s="6" t="s">
        <v>368</v>
      </c>
      <c r="B369" s="10" t="n">
        <v>5.3974</v>
      </c>
      <c r="C369" s="7" t="n">
        <f aca="false">(B369-B368)/B368*100</f>
        <v>0.154014584995643</v>
      </c>
    </row>
    <row r="370" customFormat="false" ht="15" hidden="false" customHeight="false" outlineLevel="0" collapsed="false">
      <c r="A370" s="6" t="s">
        <v>369</v>
      </c>
      <c r="B370" s="10" t="n">
        <v>5.363</v>
      </c>
      <c r="C370" s="7" t="n">
        <f aca="false">(B370-B369)/B369*100</f>
        <v>-0.637343906325263</v>
      </c>
    </row>
    <row r="371" customFormat="false" ht="15" hidden="false" customHeight="false" outlineLevel="0" collapsed="false">
      <c r="A371" s="6" t="s">
        <v>370</v>
      </c>
      <c r="B371" s="10" t="n">
        <v>5.413</v>
      </c>
      <c r="C371" s="7" t="n">
        <f aca="false">(B371-B370)/B370*100</f>
        <v>0.932314003356327</v>
      </c>
    </row>
    <row r="372" customFormat="false" ht="15" hidden="false" customHeight="false" outlineLevel="0" collapsed="false">
      <c r="A372" s="6" t="s">
        <v>371</v>
      </c>
      <c r="B372" s="10" t="n">
        <v>5.4074</v>
      </c>
      <c r="C372" s="7" t="n">
        <f aca="false">(B372-B371)/B371*100</f>
        <v>-0.103454646222063</v>
      </c>
    </row>
    <row r="373" customFormat="false" ht="15" hidden="false" customHeight="false" outlineLevel="0" collapsed="false">
      <c r="A373" s="6" t="s">
        <v>372</v>
      </c>
      <c r="B373" s="10" t="n">
        <v>5.4647</v>
      </c>
      <c r="C373" s="7" t="n">
        <f aca="false">(B373-B372)/B372*100</f>
        <v>1.05965898583422</v>
      </c>
    </row>
    <row r="374" customFormat="false" ht="15" hidden="false" customHeight="false" outlineLevel="0" collapsed="false">
      <c r="A374" s="6" t="s">
        <v>373</v>
      </c>
      <c r="B374" s="10" t="n">
        <v>5.4254</v>
      </c>
      <c r="C374" s="7" t="n">
        <f aca="false">(B374-B373)/B373*100</f>
        <v>-0.719161161637416</v>
      </c>
    </row>
    <row r="375" customFormat="false" ht="15" hidden="false" customHeight="false" outlineLevel="0" collapsed="false">
      <c r="A375" s="6" t="s">
        <v>374</v>
      </c>
      <c r="B375" s="10" t="n">
        <v>5.4416</v>
      </c>
      <c r="C375" s="7" t="n">
        <f aca="false">(B375-B374)/B374*100</f>
        <v>0.29859549526303</v>
      </c>
    </row>
    <row r="376" customFormat="false" ht="15" hidden="false" customHeight="false" outlineLevel="0" collapsed="false">
      <c r="A376" s="6" t="s">
        <v>375</v>
      </c>
      <c r="B376" s="10" t="n">
        <v>5.4</v>
      </c>
      <c r="C376" s="7" t="n">
        <f aca="false">(B376-B375)/B375*100</f>
        <v>-0.764481034989706</v>
      </c>
    </row>
    <row r="377" customFormat="false" ht="15" hidden="false" customHeight="false" outlineLevel="0" collapsed="false">
      <c r="A377" s="6" t="s">
        <v>376</v>
      </c>
      <c r="B377" s="10" t="n">
        <v>5.429</v>
      </c>
      <c r="C377" s="7" t="n">
        <f aca="false">(B377-B376)/B376*100</f>
        <v>0.537037037037035</v>
      </c>
    </row>
    <row r="378" customFormat="false" ht="15" hidden="false" customHeight="false" outlineLevel="0" collapsed="false">
      <c r="A378" s="6" t="s">
        <v>377</v>
      </c>
      <c r="B378" s="10" t="n">
        <v>5.5097</v>
      </c>
      <c r="C378" s="7" t="n">
        <f aca="false">(B378-B377)/B377*100</f>
        <v>1.48646159513721</v>
      </c>
    </row>
    <row r="379" customFormat="false" ht="15" hidden="false" customHeight="false" outlineLevel="0" collapsed="false">
      <c r="A379" s="6" t="s">
        <v>378</v>
      </c>
      <c r="B379" s="10" t="n">
        <v>5.5229</v>
      </c>
      <c r="C379" s="7" t="n">
        <f aca="false">(B379-B378)/B378*100</f>
        <v>0.239577472457671</v>
      </c>
    </row>
    <row r="380" customFormat="false" ht="15" hidden="false" customHeight="false" outlineLevel="0" collapsed="false">
      <c r="A380" s="6" t="s">
        <v>379</v>
      </c>
      <c r="B380" s="10" t="n">
        <v>5.5589</v>
      </c>
      <c r="C380" s="7" t="n">
        <f aca="false">(B380-B379)/B379*100</f>
        <v>0.651831465353356</v>
      </c>
    </row>
    <row r="381" customFormat="false" ht="15" hidden="false" customHeight="false" outlineLevel="0" collapsed="false">
      <c r="A381" s="6" t="s">
        <v>380</v>
      </c>
      <c r="B381" s="10" t="n">
        <v>5.5893</v>
      </c>
      <c r="C381" s="7" t="n">
        <f aca="false">(B381-B380)/B380*100</f>
        <v>0.546870783788147</v>
      </c>
    </row>
    <row r="382" customFormat="false" ht="15" hidden="false" customHeight="false" outlineLevel="0" collapsed="false">
      <c r="A382" s="6" t="s">
        <v>381</v>
      </c>
      <c r="B382" s="10" t="n">
        <v>5.6677</v>
      </c>
      <c r="C382" s="7" t="n">
        <f aca="false">(B382-B381)/B381*100</f>
        <v>1.40268012094538</v>
      </c>
    </row>
    <row r="383" customFormat="false" ht="15" hidden="false" customHeight="false" outlineLevel="0" collapsed="false">
      <c r="A383" s="6" t="s">
        <v>382</v>
      </c>
      <c r="B383" s="10" t="n">
        <v>5.5863</v>
      </c>
      <c r="C383" s="7" t="n">
        <f aca="false">(B383-B382)/B382*100</f>
        <v>-1.43620869135629</v>
      </c>
    </row>
    <row r="384" customFormat="false" ht="15" hidden="false" customHeight="false" outlineLevel="0" collapsed="false">
      <c r="A384" s="6" t="s">
        <v>383</v>
      </c>
      <c r="B384" s="10" t="n">
        <v>5.4839</v>
      </c>
      <c r="C384" s="7" t="n">
        <f aca="false">(B384-B383)/B383*100</f>
        <v>-1.83305586882193</v>
      </c>
    </row>
    <row r="385" customFormat="false" ht="15" hidden="false" customHeight="false" outlineLevel="0" collapsed="false">
      <c r="A385" s="6" t="s">
        <v>384</v>
      </c>
      <c r="B385" s="10" t="n">
        <v>5.497</v>
      </c>
      <c r="C385" s="7" t="n">
        <f aca="false">(B385-B384)/B384*100</f>
        <v>0.238881088276585</v>
      </c>
    </row>
    <row r="386" customFormat="false" ht="15" hidden="false" customHeight="false" outlineLevel="0" collapsed="false">
      <c r="A386" s="6" t="s">
        <v>385</v>
      </c>
      <c r="B386" s="10" t="n">
        <v>5.472</v>
      </c>
      <c r="C386" s="7" t="n">
        <f aca="false">(B386-B385)/B385*100</f>
        <v>-0.454793523740212</v>
      </c>
    </row>
    <row r="387" customFormat="false" ht="15" hidden="false" customHeight="false" outlineLevel="0" collapsed="false">
      <c r="A387" s="6" t="s">
        <v>386</v>
      </c>
      <c r="B387" s="10" t="n">
        <v>5.4387</v>
      </c>
      <c r="C387" s="7" t="n">
        <f aca="false">(B387-B386)/B386*100</f>
        <v>-0.608552631578957</v>
      </c>
    </row>
    <row r="388" customFormat="false" ht="15" hidden="false" customHeight="false" outlineLevel="0" collapsed="false">
      <c r="A388" s="6" t="s">
        <v>387</v>
      </c>
      <c r="B388" s="10" t="n">
        <v>5.3967</v>
      </c>
      <c r="C388" s="7" t="n">
        <f aca="false">(B388-B387)/B387*100</f>
        <v>-0.772243366981077</v>
      </c>
    </row>
    <row r="389" customFormat="false" ht="15" hidden="false" customHeight="false" outlineLevel="0" collapsed="false">
      <c r="A389" s="6" t="s">
        <v>388</v>
      </c>
      <c r="B389" s="10" t="n">
        <v>5.41</v>
      </c>
      <c r="C389" s="7" t="n">
        <f aca="false">(B389-B388)/B388*100</f>
        <v>0.246446902736859</v>
      </c>
    </row>
    <row r="390" customFormat="false" ht="15" hidden="false" customHeight="false" outlineLevel="0" collapsed="false">
      <c r="A390" s="6" t="s">
        <v>389</v>
      </c>
      <c r="B390" s="10" t="n">
        <v>5.4529</v>
      </c>
      <c r="C390" s="7" t="n">
        <f aca="false">(B390-B389)/B389*100</f>
        <v>0.792975970425129</v>
      </c>
    </row>
    <row r="391" customFormat="false" ht="15" hidden="false" customHeight="false" outlineLevel="0" collapsed="false">
      <c r="A391" s="6" t="s">
        <v>390</v>
      </c>
      <c r="B391" s="10" t="n">
        <v>5.4563</v>
      </c>
      <c r="C391" s="7" t="n">
        <f aca="false">(B391-B390)/B390*100</f>
        <v>0.0623521428964417</v>
      </c>
    </row>
    <row r="392" customFormat="false" ht="15" hidden="false" customHeight="false" outlineLevel="0" collapsed="false">
      <c r="A392" s="6" t="s">
        <v>391</v>
      </c>
      <c r="B392" s="10" t="n">
        <v>5.4274</v>
      </c>
      <c r="C392" s="7" t="n">
        <f aca="false">(B392-B391)/B391*100</f>
        <v>-0.529662958415046</v>
      </c>
    </row>
    <row r="393" customFormat="false" ht="15" hidden="false" customHeight="false" outlineLevel="0" collapsed="false">
      <c r="A393" s="6" t="s">
        <v>392</v>
      </c>
      <c r="B393" s="10" t="n">
        <v>5.467</v>
      </c>
      <c r="C393" s="7" t="n">
        <f aca="false">(B393-B392)/B392*100</f>
        <v>0.729631130928255</v>
      </c>
    </row>
    <row r="394" customFormat="false" ht="15" hidden="false" customHeight="false" outlineLevel="0" collapsed="false">
      <c r="A394" s="6" t="s">
        <v>393</v>
      </c>
      <c r="B394" s="10" t="n">
        <v>5.5426</v>
      </c>
      <c r="C394" s="7" t="n">
        <f aca="false">(B394-B393)/B393*100</f>
        <v>1.38284250960308</v>
      </c>
    </row>
    <row r="395" customFormat="false" ht="15" hidden="false" customHeight="false" outlineLevel="0" collapsed="false">
      <c r="A395" s="6" t="s">
        <v>394</v>
      </c>
      <c r="B395" s="10" t="n">
        <v>5.5543</v>
      </c>
      <c r="C395" s="7" t="n">
        <f aca="false">(B395-B394)/B394*100</f>
        <v>0.211092267167022</v>
      </c>
    </row>
    <row r="396" customFormat="false" ht="15" hidden="false" customHeight="false" outlineLevel="0" collapsed="false">
      <c r="A396" s="6" t="s">
        <v>395</v>
      </c>
      <c r="B396" s="10" t="n">
        <v>5.5598</v>
      </c>
      <c r="C396" s="7" t="n">
        <f aca="false">(B396-B395)/B395*100</f>
        <v>0.0990223790576761</v>
      </c>
    </row>
    <row r="397" customFormat="false" ht="15" hidden="false" customHeight="false" outlineLevel="0" collapsed="false">
      <c r="A397" s="6" t="s">
        <v>396</v>
      </c>
      <c r="B397" s="10" t="n">
        <v>5.5807</v>
      </c>
      <c r="C397" s="7" t="n">
        <f aca="false">(B397-B396)/B396*100</f>
        <v>0.375912802618802</v>
      </c>
    </row>
    <row r="398" customFormat="false" ht="15" hidden="false" customHeight="false" outlineLevel="0" collapsed="false">
      <c r="A398" s="6" t="s">
        <v>397</v>
      </c>
      <c r="B398" s="10" t="n">
        <v>5.6346</v>
      </c>
      <c r="C398" s="7" t="n">
        <f aca="false">(B398-B397)/B397*100</f>
        <v>0.965828659487154</v>
      </c>
    </row>
    <row r="399" customFormat="false" ht="15" hidden="false" customHeight="false" outlineLevel="0" collapsed="false">
      <c r="A399" s="6" t="s">
        <v>398</v>
      </c>
      <c r="B399" s="10" t="n">
        <v>5.6402</v>
      </c>
      <c r="C399" s="7" t="n">
        <f aca="false">(B399-B398)/B398*100</f>
        <v>0.0993859368899349</v>
      </c>
    </row>
    <row r="400" customFormat="false" ht="15" hidden="false" customHeight="false" outlineLevel="0" collapsed="false">
      <c r="A400" s="6" t="s">
        <v>399</v>
      </c>
      <c r="B400" s="10" t="n">
        <v>5.6465</v>
      </c>
      <c r="C400" s="7" t="n">
        <f aca="false">(B400-B399)/B399*100</f>
        <v>0.111698166731668</v>
      </c>
    </row>
    <row r="401" customFormat="false" ht="15" hidden="false" customHeight="false" outlineLevel="0" collapsed="false">
      <c r="A401" s="6" t="s">
        <v>400</v>
      </c>
      <c r="B401" s="10" t="n">
        <v>5.6479</v>
      </c>
      <c r="C401" s="7" t="n">
        <f aca="false">(B401-B400)/B400*100</f>
        <v>0.0247941202514884</v>
      </c>
    </row>
    <row r="402" customFormat="false" ht="15" hidden="false" customHeight="false" outlineLevel="0" collapsed="false">
      <c r="A402" s="6" t="s">
        <v>401</v>
      </c>
      <c r="B402" s="10" t="n">
        <v>5.6532</v>
      </c>
      <c r="C402" s="7" t="n">
        <f aca="false">(B402-B401)/B401*100</f>
        <v>0.0938401883886061</v>
      </c>
    </row>
    <row r="403" customFormat="false" ht="15" hidden="false" customHeight="false" outlineLevel="0" collapsed="false">
      <c r="A403" s="6" t="s">
        <v>402</v>
      </c>
      <c r="B403" s="10" t="n">
        <v>5.6621</v>
      </c>
      <c r="C403" s="7" t="n">
        <f aca="false">(B403-B402)/B402*100</f>
        <v>0.157432958324483</v>
      </c>
    </row>
    <row r="404" customFormat="false" ht="15" hidden="false" customHeight="false" outlineLevel="0" collapsed="false">
      <c r="A404" s="6" t="s">
        <v>403</v>
      </c>
      <c r="B404" s="10" t="n">
        <v>5.6681</v>
      </c>
      <c r="C404" s="7" t="n">
        <f aca="false">(B404-B403)/B403*100</f>
        <v>0.105967750481274</v>
      </c>
    </row>
    <row r="405" customFormat="false" ht="15" hidden="false" customHeight="false" outlineLevel="0" collapsed="false">
      <c r="A405" s="6" t="s">
        <v>404</v>
      </c>
      <c r="B405" s="10" t="n">
        <v>5.7366</v>
      </c>
      <c r="C405" s="7" t="n">
        <f aca="false">(B405-B404)/B404*100</f>
        <v>1.20851784548615</v>
      </c>
    </row>
    <row r="406" customFormat="false" ht="15" hidden="false" customHeight="false" outlineLevel="0" collapsed="false">
      <c r="A406" s="6" t="s">
        <v>405</v>
      </c>
      <c r="B406" s="10" t="n">
        <v>5.7646</v>
      </c>
      <c r="C406" s="7" t="n">
        <f aca="false">(B406-B405)/B405*100</f>
        <v>0.488093992957494</v>
      </c>
    </row>
    <row r="407" customFormat="false" ht="15" hidden="false" customHeight="false" outlineLevel="0" collapsed="false">
      <c r="A407" s="6" t="s">
        <v>406</v>
      </c>
      <c r="B407" s="10" t="n">
        <v>5.6528</v>
      </c>
      <c r="C407" s="7" t="n">
        <f aca="false">(B407-B406)/B406*100</f>
        <v>-1.93942337716406</v>
      </c>
    </row>
    <row r="408" customFormat="false" ht="15" hidden="false" customHeight="false" outlineLevel="0" collapsed="false">
      <c r="A408" s="6" t="s">
        <v>407</v>
      </c>
      <c r="B408" s="10" t="n">
        <v>5.6093</v>
      </c>
      <c r="C408" s="7" t="n">
        <f aca="false">(B408-B407)/B407*100</f>
        <v>-0.769530144353239</v>
      </c>
    </row>
    <row r="409" customFormat="false" ht="15" hidden="false" customHeight="false" outlineLevel="0" collapsed="false">
      <c r="A409" s="6" t="s">
        <v>408</v>
      </c>
      <c r="B409" s="10" t="n">
        <v>5.6172</v>
      </c>
      <c r="C409" s="7" t="n">
        <f aca="false">(B409-B408)/B408*100</f>
        <v>0.140837537660675</v>
      </c>
    </row>
    <row r="410" customFormat="false" ht="15" hidden="false" customHeight="false" outlineLevel="0" collapsed="false">
      <c r="A410" s="6" t="s">
        <v>409</v>
      </c>
      <c r="B410" s="10" t="n">
        <v>5.5115</v>
      </c>
      <c r="C410" s="7" t="n">
        <f aca="false">(B410-B409)/B409*100</f>
        <v>-1.88172043010754</v>
      </c>
    </row>
    <row r="411" customFormat="false" ht="15" hidden="false" customHeight="false" outlineLevel="0" collapsed="false">
      <c r="A411" s="6" t="s">
        <v>410</v>
      </c>
      <c r="B411" s="10" t="n">
        <v>5.4911</v>
      </c>
      <c r="C411" s="7" t="n">
        <f aca="false">(B411-B410)/B410*100</f>
        <v>-0.370135171913264</v>
      </c>
    </row>
    <row r="412" customFormat="false" ht="15" hidden="false" customHeight="false" outlineLevel="0" collapsed="false">
      <c r="A412" s="6" t="s">
        <v>411</v>
      </c>
      <c r="B412" s="10" t="n">
        <v>5.4875</v>
      </c>
      <c r="C412" s="7" t="n">
        <f aca="false">(B412-B411)/B411*100</f>
        <v>-0.0655606344812604</v>
      </c>
    </row>
    <row r="413" customFormat="false" ht="15" hidden="false" customHeight="false" outlineLevel="0" collapsed="false">
      <c r="A413" s="6" t="s">
        <v>412</v>
      </c>
      <c r="B413" s="10" t="n">
        <v>5.4502</v>
      </c>
      <c r="C413" s="7" t="n">
        <f aca="false">(B413-B412)/B412*100</f>
        <v>-0.67972665148064</v>
      </c>
    </row>
    <row r="414" customFormat="false" ht="15" hidden="false" customHeight="false" outlineLevel="0" collapsed="false">
      <c r="A414" s="6" t="s">
        <v>413</v>
      </c>
      <c r="B414" s="10" t="n">
        <v>5.4651</v>
      </c>
      <c r="C414" s="7" t="n">
        <f aca="false">(B414-B413)/B413*100</f>
        <v>0.273384462955486</v>
      </c>
    </row>
    <row r="415" customFormat="false" ht="15" hidden="false" customHeight="false" outlineLevel="0" collapsed="false">
      <c r="A415" s="6" t="s">
        <v>414</v>
      </c>
      <c r="B415" s="10" t="n">
        <v>5.4632</v>
      </c>
      <c r="C415" s="7" t="n">
        <f aca="false">(B415-B414)/B414*100</f>
        <v>-0.0347660610052883</v>
      </c>
    </row>
    <row r="416" customFormat="false" ht="15" hidden="false" customHeight="false" outlineLevel="0" collapsed="false">
      <c r="A416" s="6" t="s">
        <v>415</v>
      </c>
      <c r="B416" s="10" t="n">
        <v>5.4237</v>
      </c>
      <c r="C416" s="7" t="n">
        <f aca="false">(B416-B415)/B415*100</f>
        <v>-0.723019475765109</v>
      </c>
    </row>
    <row r="417" customFormat="false" ht="15" hidden="false" customHeight="false" outlineLevel="0" collapsed="false">
      <c r="A417" s="6" t="s">
        <v>416</v>
      </c>
      <c r="B417" s="10" t="n">
        <v>5.4547</v>
      </c>
      <c r="C417" s="7" t="n">
        <f aca="false">(B417-B416)/B416*100</f>
        <v>0.571565536441907</v>
      </c>
    </row>
    <row r="418" customFormat="false" ht="15" hidden="false" customHeight="false" outlineLevel="0" collapsed="false">
      <c r="A418" s="6" t="s">
        <v>417</v>
      </c>
      <c r="B418" s="10" t="n">
        <v>5.4707</v>
      </c>
      <c r="C418" s="7" t="n">
        <f aca="false">(B418-B417)/B417*100</f>
        <v>0.293325022457697</v>
      </c>
    </row>
    <row r="419" customFormat="false" ht="15" hidden="false" customHeight="false" outlineLevel="0" collapsed="false">
      <c r="A419" s="6" t="s">
        <v>418</v>
      </c>
      <c r="B419" s="10" t="n">
        <v>5.5524</v>
      </c>
      <c r="C419" s="7" t="n">
        <f aca="false">(B419-B418)/B418*100</f>
        <v>1.49341034968102</v>
      </c>
    </row>
    <row r="420" customFormat="false" ht="15" hidden="false" customHeight="false" outlineLevel="0" collapsed="false">
      <c r="A420" s="6" t="s">
        <v>419</v>
      </c>
      <c r="B420" s="10" t="n">
        <v>5.5263</v>
      </c>
      <c r="C420" s="7" t="n">
        <f aca="false">(B420-B419)/B419*100</f>
        <v>-0.470066998054887</v>
      </c>
    </row>
    <row r="421" customFormat="false" ht="15" hidden="false" customHeight="false" outlineLevel="0" collapsed="false">
      <c r="A421" s="6" t="s">
        <v>420</v>
      </c>
      <c r="B421" s="10" t="n">
        <v>5.4921</v>
      </c>
      <c r="C421" s="7" t="n">
        <f aca="false">(B421-B420)/B420*100</f>
        <v>-0.618858911025464</v>
      </c>
    </row>
    <row r="422" customFormat="false" ht="15" hidden="false" customHeight="false" outlineLevel="0" collapsed="false">
      <c r="A422" s="6" t="s">
        <v>421</v>
      </c>
      <c r="B422" s="10" t="n">
        <v>5.4969</v>
      </c>
      <c r="C422" s="7" t="n">
        <f aca="false">(B422-B421)/B421*100</f>
        <v>0.0873982629595302</v>
      </c>
    </row>
    <row r="423" customFormat="false" ht="15" hidden="false" customHeight="false" outlineLevel="0" collapsed="false">
      <c r="A423" s="6" t="s">
        <v>422</v>
      </c>
      <c r="B423" s="10" t="n">
        <v>5.5315</v>
      </c>
      <c r="C423" s="7" t="n">
        <f aca="false">(B423-B422)/B422*100</f>
        <v>0.629445687569361</v>
      </c>
    </row>
    <row r="424" customFormat="false" ht="15" hidden="false" customHeight="false" outlineLevel="0" collapsed="false">
      <c r="A424" s="6" t="s">
        <v>423</v>
      </c>
      <c r="B424" s="10" t="n">
        <v>5.6358</v>
      </c>
      <c r="C424" s="7" t="n">
        <f aca="false">(B424-B423)/B423*100</f>
        <v>1.88556449426014</v>
      </c>
    </row>
    <row r="425" customFormat="false" ht="15" hidden="false" customHeight="false" outlineLevel="0" collapsed="false">
      <c r="A425" s="6" t="s">
        <v>424</v>
      </c>
      <c r="B425" s="10" t="n">
        <v>5.6562</v>
      </c>
      <c r="C425" s="7" t="n">
        <f aca="false">(B425-B424)/B424*100</f>
        <v>0.361971681039079</v>
      </c>
    </row>
    <row r="426" customFormat="false" ht="15" hidden="false" customHeight="false" outlineLevel="0" collapsed="false">
      <c r="A426" s="6" t="s">
        <v>425</v>
      </c>
      <c r="B426" s="10" t="n">
        <v>5.623</v>
      </c>
      <c r="C426" s="7" t="n">
        <f aca="false">(B426-B425)/B425*100</f>
        <v>-0.586966514621122</v>
      </c>
    </row>
    <row r="427" customFormat="false" ht="15" hidden="false" customHeight="false" outlineLevel="0" collapsed="false">
      <c r="A427" s="6" t="s">
        <v>426</v>
      </c>
      <c r="B427" s="10" t="n">
        <v>5.6224</v>
      </c>
      <c r="C427" s="7" t="n">
        <f aca="false">(B427-B426)/B426*100</f>
        <v>-0.010670460608223</v>
      </c>
    </row>
    <row r="428" customFormat="false" ht="15" hidden="false" customHeight="false" outlineLevel="0" collapsed="false">
      <c r="A428" s="6" t="s">
        <v>427</v>
      </c>
      <c r="B428" s="10" t="n">
        <v>5.6359</v>
      </c>
      <c r="C428" s="7" t="n">
        <f aca="false">(B428-B427)/B427*100</f>
        <v>0.240110984632906</v>
      </c>
    </row>
    <row r="429" customFormat="false" ht="15" hidden="false" customHeight="false" outlineLevel="0" collapsed="false">
      <c r="A429" s="6" t="s">
        <v>428</v>
      </c>
      <c r="B429" s="10" t="n">
        <v>5.6049</v>
      </c>
      <c r="C429" s="7" t="n">
        <f aca="false">(B429-B428)/B428*100</f>
        <v>-0.550045245657314</v>
      </c>
    </row>
    <row r="430" customFormat="false" ht="15" hidden="false" customHeight="false" outlineLevel="0" collapsed="false">
      <c r="A430" s="6" t="s">
        <v>429</v>
      </c>
      <c r="B430" s="10" t="n">
        <v>5.5702</v>
      </c>
      <c r="C430" s="7" t="n">
        <f aca="false">(B430-B429)/B429*100</f>
        <v>-0.61910114364217</v>
      </c>
    </row>
    <row r="431" customFormat="false" ht="15" hidden="false" customHeight="false" outlineLevel="0" collapsed="false">
      <c r="A431" s="6" t="s">
        <v>430</v>
      </c>
      <c r="B431" s="10" t="n">
        <v>5.6097</v>
      </c>
      <c r="C431" s="7" t="n">
        <f aca="false">(B431-B430)/B430*100</f>
        <v>0.709130731392056</v>
      </c>
    </row>
    <row r="432" customFormat="false" ht="15" hidden="false" customHeight="false" outlineLevel="0" collapsed="false">
      <c r="A432" s="6" t="s">
        <v>431</v>
      </c>
      <c r="B432" s="10" t="n">
        <v>5.6254</v>
      </c>
      <c r="C432" s="7" t="n">
        <f aca="false">(B432-B431)/B431*100</f>
        <v>0.279872363941028</v>
      </c>
    </row>
    <row r="433" customFormat="false" ht="15" hidden="false" customHeight="false" outlineLevel="0" collapsed="false">
      <c r="A433" s="6" t="s">
        <v>432</v>
      </c>
      <c r="B433" s="10" t="n">
        <v>5.6387</v>
      </c>
      <c r="C433" s="7" t="n">
        <f aca="false">(B433-B432)/B432*100</f>
        <v>0.23642763181285</v>
      </c>
    </row>
    <row r="434" customFormat="false" ht="15" hidden="false" customHeight="false" outlineLevel="0" collapsed="false">
      <c r="A434" s="6" t="s">
        <v>433</v>
      </c>
      <c r="B434" s="10" t="n">
        <v>5.6554</v>
      </c>
      <c r="C434" s="7" t="n">
        <f aca="false">(B434-B433)/B433*100</f>
        <v>0.296167556351644</v>
      </c>
    </row>
    <row r="435" customFormat="false" ht="15" hidden="false" customHeight="false" outlineLevel="0" collapsed="false">
      <c r="A435" s="6" t="s">
        <v>434</v>
      </c>
      <c r="B435" s="10" t="n">
        <v>5.5717</v>
      </c>
      <c r="C435" s="7" t="n">
        <f aca="false">(B435-B434)/B434*100</f>
        <v>-1.48000141457722</v>
      </c>
    </row>
    <row r="436" customFormat="false" ht="15" hidden="false" customHeight="false" outlineLevel="0" collapsed="false">
      <c r="A436" s="6" t="s">
        <v>435</v>
      </c>
      <c r="B436" s="10" t="n">
        <v>5.5207</v>
      </c>
      <c r="C436" s="7" t="n">
        <f aca="false">(B436-B435)/B435*100</f>
        <v>-0.915340021896372</v>
      </c>
    </row>
    <row r="437" customFormat="false" ht="15" hidden="false" customHeight="false" outlineLevel="0" collapsed="false">
      <c r="A437" s="6" t="s">
        <v>436</v>
      </c>
      <c r="B437" s="10" t="n">
        <v>5.501</v>
      </c>
      <c r="C437" s="7" t="n">
        <f aca="false">(B437-B436)/B436*100</f>
        <v>-0.356838806673056</v>
      </c>
    </row>
    <row r="438" customFormat="false" ht="15" hidden="false" customHeight="false" outlineLevel="0" collapsed="false">
      <c r="A438" s="6" t="s">
        <v>437</v>
      </c>
      <c r="B438" s="10" t="n">
        <v>5.4767</v>
      </c>
      <c r="C438" s="7" t="n">
        <f aca="false">(B438-B437)/B437*100</f>
        <v>-0.441737865842578</v>
      </c>
    </row>
    <row r="439" customFormat="false" ht="15" hidden="false" customHeight="false" outlineLevel="0" collapsed="false">
      <c r="A439" s="6" t="s">
        <v>438</v>
      </c>
      <c r="B439" s="10" t="n">
        <v>5.4189</v>
      </c>
      <c r="C439" s="7" t="n">
        <f aca="false">(B439-B438)/B438*100</f>
        <v>-1.05538006463747</v>
      </c>
    </row>
    <row r="440" customFormat="false" ht="15" hidden="false" customHeight="false" outlineLevel="0" collapsed="false">
      <c r="A440" s="6" t="s">
        <v>439</v>
      </c>
      <c r="B440" s="10" t="n">
        <v>5.4775</v>
      </c>
      <c r="C440" s="7" t="n">
        <f aca="false">(B440-B439)/B439*100</f>
        <v>1.08140028419052</v>
      </c>
    </row>
    <row r="441" customFormat="false" ht="15" hidden="false" customHeight="false" outlineLevel="0" collapsed="false">
      <c r="A441" s="6" t="s">
        <v>440</v>
      </c>
      <c r="B441" s="10" t="n">
        <v>5.5446</v>
      </c>
      <c r="C441" s="7" t="n">
        <f aca="false">(B441-B440)/B440*100</f>
        <v>1.22501141031492</v>
      </c>
    </row>
    <row r="442" customFormat="false" ht="15" hidden="false" customHeight="false" outlineLevel="0" collapsed="false">
      <c r="A442" s="6" t="s">
        <v>441</v>
      </c>
      <c r="B442" s="10" t="n">
        <v>5.4702</v>
      </c>
      <c r="C442" s="7" t="n">
        <f aca="false">(B442-B441)/B441*100</f>
        <v>-1.34184612054972</v>
      </c>
    </row>
    <row r="443" customFormat="false" ht="15" hidden="false" customHeight="false" outlineLevel="0" collapsed="false">
      <c r="A443" s="6" t="s">
        <v>442</v>
      </c>
      <c r="B443" s="10" t="n">
        <v>5.4736</v>
      </c>
      <c r="C443" s="7" t="n">
        <f aca="false">(B443-B442)/B442*100</f>
        <v>0.0621549486307643</v>
      </c>
    </row>
    <row r="444" customFormat="false" ht="15" hidden="false" customHeight="false" outlineLevel="0" collapsed="false">
      <c r="A444" s="6" t="s">
        <v>443</v>
      </c>
      <c r="B444" s="10" t="n">
        <v>5.4412</v>
      </c>
      <c r="C444" s="7" t="n">
        <f aca="false">(B444-B443)/B443*100</f>
        <v>-0.591932183572055</v>
      </c>
    </row>
    <row r="445" customFormat="false" ht="15" hidden="false" customHeight="false" outlineLevel="0" collapsed="false">
      <c r="A445" s="6" t="s">
        <v>444</v>
      </c>
      <c r="B445" s="10" t="n">
        <v>5.4431</v>
      </c>
      <c r="C445" s="7" t="n">
        <f aca="false">(B445-B444)/B444*100</f>
        <v>0.0349187679188417</v>
      </c>
    </row>
    <row r="446" customFormat="false" ht="15" hidden="false" customHeight="false" outlineLevel="0" collapsed="false">
      <c r="A446" s="6" t="s">
        <v>445</v>
      </c>
      <c r="B446" s="10" t="n">
        <v>5.4481</v>
      </c>
      <c r="C446" s="7" t="n">
        <f aca="false">(B446-B445)/B445*100</f>
        <v>0.0918594183461611</v>
      </c>
    </row>
    <row r="447" customFormat="false" ht="15" hidden="false" customHeight="false" outlineLevel="0" collapsed="false">
      <c r="A447" s="6" t="s">
        <v>446</v>
      </c>
      <c r="B447" s="10" t="n">
        <v>5.4521</v>
      </c>
      <c r="C447" s="7" t="n">
        <f aca="false">(B447-B446)/B446*100</f>
        <v>0.0734200914080057</v>
      </c>
    </row>
    <row r="448" customFormat="false" ht="15" hidden="false" customHeight="false" outlineLevel="0" collapsed="false">
      <c r="A448" s="6" t="s">
        <v>447</v>
      </c>
      <c r="B448" s="10" t="n">
        <v>5.4305</v>
      </c>
      <c r="C448" s="7" t="n">
        <f aca="false">(B448-B447)/B447*100</f>
        <v>-0.396177619632791</v>
      </c>
    </row>
    <row r="449" customFormat="false" ht="15" hidden="false" customHeight="false" outlineLevel="0" collapsed="false">
      <c r="A449" s="6" t="s">
        <v>448</v>
      </c>
      <c r="B449" s="10" t="n">
        <v>5.485</v>
      </c>
      <c r="C449" s="7" t="n">
        <f aca="false">(B449-B448)/B448*100</f>
        <v>1.0035908295737</v>
      </c>
    </row>
    <row r="450" customFormat="false" ht="15" hidden="false" customHeight="false" outlineLevel="0" collapsed="false">
      <c r="A450" s="6" t="s">
        <v>449</v>
      </c>
      <c r="B450" s="10" t="n">
        <v>5.4686</v>
      </c>
      <c r="C450" s="7" t="n">
        <f aca="false">(B450-B449)/B449*100</f>
        <v>-0.298997265268915</v>
      </c>
    </row>
    <row r="451" customFormat="false" ht="15" hidden="false" customHeight="false" outlineLevel="0" collapsed="false">
      <c r="A451" s="6" t="s">
        <v>450</v>
      </c>
      <c r="B451" s="10" t="n">
        <v>5.4626</v>
      </c>
      <c r="C451" s="7" t="n">
        <f aca="false">(B451-B450)/B450*100</f>
        <v>-0.109717295102956</v>
      </c>
    </row>
    <row r="452" customFormat="false" ht="15" hidden="false" customHeight="false" outlineLevel="0" collapsed="false">
      <c r="A452" s="6" t="s">
        <v>451</v>
      </c>
      <c r="B452" s="10" t="n">
        <v>5.5197</v>
      </c>
      <c r="C452" s="7" t="n">
        <f aca="false">(B452-B451)/B451*100</f>
        <v>1.04528978874529</v>
      </c>
    </row>
    <row r="453" customFormat="false" ht="15" hidden="false" customHeight="false" outlineLevel="0" collapsed="false">
      <c r="A453" s="6" t="s">
        <v>452</v>
      </c>
      <c r="B453" s="10" t="n">
        <v>5.5737</v>
      </c>
      <c r="C453" s="7" t="n">
        <f aca="false">(B453-B452)/B452*100</f>
        <v>0.978314038806446</v>
      </c>
    </row>
    <row r="454" customFormat="false" ht="15" hidden="false" customHeight="false" outlineLevel="0" collapsed="false">
      <c r="A454" s="6" t="s">
        <v>453</v>
      </c>
      <c r="B454" s="10" t="n">
        <v>5.5819</v>
      </c>
      <c r="C454" s="7" t="n">
        <f aca="false">(B454-B453)/B453*100</f>
        <v>0.147119507687899</v>
      </c>
    </row>
    <row r="455" customFormat="false" ht="15" hidden="false" customHeight="false" outlineLevel="0" collapsed="false">
      <c r="A455" s="6" t="s">
        <v>454</v>
      </c>
      <c r="B455" s="10" t="n">
        <v>5.6263</v>
      </c>
      <c r="C455" s="7" t="n">
        <f aca="false">(B455-B454)/B454*100</f>
        <v>0.795428080044421</v>
      </c>
    </row>
    <row r="456" customFormat="false" ht="15" hidden="false" customHeight="false" outlineLevel="0" collapsed="false">
      <c r="A456" s="6" t="s">
        <v>455</v>
      </c>
      <c r="B456" s="10" t="n">
        <v>5.6045</v>
      </c>
      <c r="C456" s="7" t="n">
        <f aca="false">(B456-B455)/B455*100</f>
        <v>-0.387466007855959</v>
      </c>
    </row>
    <row r="457" customFormat="false" ht="15" hidden="false" customHeight="false" outlineLevel="0" collapsed="false">
      <c r="A457" s="6" t="s">
        <v>456</v>
      </c>
      <c r="B457" s="10" t="n">
        <v>5.6378</v>
      </c>
      <c r="C457" s="7" t="n">
        <f aca="false">(B457-B456)/B456*100</f>
        <v>0.59416540280133</v>
      </c>
    </row>
    <row r="458" customFormat="false" ht="15" hidden="false" customHeight="false" outlineLevel="0" collapsed="false">
      <c r="A458" s="6" t="s">
        <v>457</v>
      </c>
      <c r="B458" s="10" t="n">
        <v>5.6749</v>
      </c>
      <c r="C458" s="7" t="n">
        <f aca="false">(B458-B457)/B457*100</f>
        <v>0.65805810777253</v>
      </c>
    </row>
    <row r="459" customFormat="false" ht="15" hidden="false" customHeight="false" outlineLevel="0" collapsed="false">
      <c r="A459" s="6" t="s">
        <v>458</v>
      </c>
      <c r="B459" s="10" t="n">
        <v>5.6758</v>
      </c>
      <c r="C459" s="7" t="n">
        <f aca="false">(B459-B458)/B458*100</f>
        <v>0.015859310296211</v>
      </c>
    </row>
    <row r="460" customFormat="false" ht="15" hidden="false" customHeight="false" outlineLevel="0" collapsed="false">
      <c r="A460" s="6" t="s">
        <v>459</v>
      </c>
      <c r="B460" s="10" t="n">
        <v>5.6672</v>
      </c>
      <c r="C460" s="7" t="n">
        <f aca="false">(B460-B459)/B459*100</f>
        <v>-0.151520490503533</v>
      </c>
    </row>
    <row r="461" customFormat="false" ht="15" hidden="false" customHeight="false" outlineLevel="0" collapsed="false">
      <c r="A461" s="6" t="s">
        <v>460</v>
      </c>
      <c r="B461" s="10" t="n">
        <v>5.7068</v>
      </c>
      <c r="C461" s="7" t="n">
        <f aca="false">(B461-B460)/B460*100</f>
        <v>0.698757763975157</v>
      </c>
    </row>
    <row r="462" customFormat="false" ht="15" hidden="false" customHeight="false" outlineLevel="0" collapsed="false">
      <c r="A462" s="6" t="s">
        <v>461</v>
      </c>
      <c r="B462" s="10" t="n">
        <v>5.6958</v>
      </c>
      <c r="C462" s="7" t="n">
        <f aca="false">(B462-B461)/B461*100</f>
        <v>-0.192752505782577</v>
      </c>
    </row>
    <row r="463" customFormat="false" ht="15" hidden="false" customHeight="false" outlineLevel="0" collapsed="false">
      <c r="A463" s="6" t="s">
        <v>462</v>
      </c>
      <c r="B463" s="10" t="n">
        <v>5.7149</v>
      </c>
      <c r="C463" s="7" t="n">
        <f aca="false">(B463-B462)/B462*100</f>
        <v>0.335334808104215</v>
      </c>
    </row>
    <row r="464" customFormat="false" ht="15" hidden="false" customHeight="false" outlineLevel="0" collapsed="false">
      <c r="A464" s="6" t="s">
        <v>463</v>
      </c>
      <c r="B464" s="10" t="n">
        <v>5.7087</v>
      </c>
      <c r="C464" s="7" t="n">
        <f aca="false">(B464-B463)/B463*100</f>
        <v>-0.108488337503714</v>
      </c>
    </row>
    <row r="465" customFormat="false" ht="15" hidden="false" customHeight="false" outlineLevel="0" collapsed="false">
      <c r="A465" s="6" t="s">
        <v>464</v>
      </c>
      <c r="B465" s="10" t="n">
        <v>5.6969</v>
      </c>
      <c r="C465" s="7" t="n">
        <f aca="false">(B465-B464)/B464*100</f>
        <v>-0.206702051255102</v>
      </c>
    </row>
    <row r="466" customFormat="false" ht="15" hidden="false" customHeight="false" outlineLevel="0" collapsed="false">
      <c r="A466" s="6" t="s">
        <v>465</v>
      </c>
      <c r="B466" s="10" t="n">
        <v>5.6988</v>
      </c>
      <c r="C466" s="7" t="n">
        <f aca="false">(B466-B465)/B465*100</f>
        <v>0.0333514718531133</v>
      </c>
    </row>
    <row r="467" customFormat="false" ht="15" hidden="false" customHeight="false" outlineLevel="0" collapsed="false">
      <c r="A467" s="6" t="s">
        <v>466</v>
      </c>
      <c r="B467" s="10" t="n">
        <v>5.714</v>
      </c>
      <c r="C467" s="7" t="n">
        <f aca="false">(B467-B466)/B466*100</f>
        <v>0.266722818839056</v>
      </c>
    </row>
    <row r="468" customFormat="false" ht="15" hidden="false" customHeight="false" outlineLevel="0" collapsed="false">
      <c r="A468" s="6" t="s">
        <v>467</v>
      </c>
      <c r="B468" s="10" t="n">
        <v>5.7801</v>
      </c>
      <c r="C468" s="7" t="n">
        <f aca="false">(B468-B467)/B467*100</f>
        <v>1.15680784039201</v>
      </c>
    </row>
    <row r="469" customFormat="false" ht="15" hidden="false" customHeight="false" outlineLevel="0" collapsed="false">
      <c r="A469" s="6" t="s">
        <v>468</v>
      </c>
      <c r="B469" s="10" t="n">
        <v>5.7779</v>
      </c>
      <c r="C469" s="7" t="n">
        <f aca="false">(B469-B468)/B468*100</f>
        <v>-0.0380616252314009</v>
      </c>
    </row>
    <row r="470" customFormat="false" ht="15" hidden="false" customHeight="false" outlineLevel="0" collapsed="false">
      <c r="A470" s="6" t="s">
        <v>469</v>
      </c>
      <c r="B470" s="10" t="n">
        <v>5.8073</v>
      </c>
      <c r="C470" s="7" t="n">
        <f aca="false">(B470-B469)/B469*100</f>
        <v>0.508835390020594</v>
      </c>
    </row>
    <row r="471" customFormat="false" ht="15" hidden="false" customHeight="false" outlineLevel="0" collapsed="false">
      <c r="A471" s="6" t="s">
        <v>470</v>
      </c>
      <c r="B471" s="10" t="n">
        <v>5.7898</v>
      </c>
      <c r="C471" s="7" t="n">
        <f aca="false">(B471-B470)/B470*100</f>
        <v>-0.301344859056706</v>
      </c>
    </row>
    <row r="472" customFormat="false" ht="15" hidden="false" customHeight="false" outlineLevel="0" collapsed="false">
      <c r="A472" s="6" t="s">
        <v>471</v>
      </c>
      <c r="B472" s="10" t="n">
        <v>5.7846</v>
      </c>
      <c r="C472" s="7" t="n">
        <f aca="false">(B472-B471)/B471*100</f>
        <v>-0.0898131196241568</v>
      </c>
    </row>
    <row r="473" customFormat="false" ht="15" hidden="false" customHeight="false" outlineLevel="0" collapsed="false">
      <c r="A473" s="6" t="s">
        <v>472</v>
      </c>
      <c r="B473" s="10" t="n">
        <v>5.7648</v>
      </c>
      <c r="C473" s="7" t="n">
        <f aca="false">(B473-B472)/B472*100</f>
        <v>-0.342288144383363</v>
      </c>
    </row>
    <row r="474" customFormat="false" ht="15" hidden="false" customHeight="false" outlineLevel="0" collapsed="false">
      <c r="A474" s="6" t="s">
        <v>473</v>
      </c>
      <c r="B474" s="10" t="n">
        <v>5.6624</v>
      </c>
      <c r="C474" s="7" t="n">
        <f aca="false">(B474-B473)/B473*100</f>
        <v>-1.77629752983625</v>
      </c>
    </row>
    <row r="475" customFormat="false" ht="15" hidden="false" customHeight="false" outlineLevel="0" collapsed="false">
      <c r="A475" s="6" t="s">
        <v>474</v>
      </c>
      <c r="B475" s="10" t="n">
        <v>5.7648</v>
      </c>
      <c r="C475" s="7" t="n">
        <f aca="false">(B475-B474)/B474*100</f>
        <v>1.80842045775643</v>
      </c>
    </row>
    <row r="476" customFormat="false" ht="15" hidden="false" customHeight="false" outlineLevel="0" collapsed="false">
      <c r="A476" s="6" t="s">
        <v>475</v>
      </c>
      <c r="B476" s="10" t="n">
        <v>5.798</v>
      </c>
      <c r="C476" s="7" t="n">
        <f aca="false">(B476-B475)/B475*100</f>
        <v>0.575908964751594</v>
      </c>
    </row>
    <row r="477" customFormat="false" ht="15" hidden="false" customHeight="false" outlineLevel="0" collapsed="false">
      <c r="A477" s="6" t="s">
        <v>476</v>
      </c>
      <c r="B477" s="10" t="n">
        <v>5.7694</v>
      </c>
      <c r="C477" s="7" t="n">
        <f aca="false">(B477-B476)/B476*100</f>
        <v>-0.493273542600896</v>
      </c>
    </row>
    <row r="478" customFormat="false" ht="15" hidden="false" customHeight="false" outlineLevel="0" collapsed="false">
      <c r="A478" s="6" t="s">
        <v>477</v>
      </c>
      <c r="B478" s="10" t="n">
        <v>5.7713</v>
      </c>
      <c r="C478" s="7" t="n">
        <f aca="false">(B478-B477)/B477*100</f>
        <v>0.0329323673172256</v>
      </c>
    </row>
    <row r="479" customFormat="false" ht="15" hidden="false" customHeight="false" outlineLevel="0" collapsed="false">
      <c r="A479" s="6" t="s">
        <v>478</v>
      </c>
      <c r="B479" s="10" t="n">
        <v>5.7885</v>
      </c>
      <c r="C479" s="7" t="n">
        <f aca="false">(B479-B478)/B478*100</f>
        <v>0.298026441183094</v>
      </c>
    </row>
    <row r="480" customFormat="false" ht="15" hidden="false" customHeight="false" outlineLevel="0" collapsed="false">
      <c r="A480" s="6" t="s">
        <v>479</v>
      </c>
      <c r="B480" s="10" t="n">
        <v>5.7603</v>
      </c>
      <c r="C480" s="7" t="n">
        <f aca="false">(B480-B479)/B479*100</f>
        <v>-0.487172842705364</v>
      </c>
    </row>
    <row r="481" customFormat="false" ht="15" hidden="false" customHeight="false" outlineLevel="0" collapsed="false">
      <c r="A481" s="6" t="s">
        <v>480</v>
      </c>
      <c r="B481" s="10" t="n">
        <v>5.7743</v>
      </c>
      <c r="C481" s="7" t="n">
        <f aca="false">(B481-B480)/B480*100</f>
        <v>0.243042897071337</v>
      </c>
    </row>
    <row r="482" customFormat="false" ht="15" hidden="false" customHeight="false" outlineLevel="0" collapsed="false">
      <c r="A482" s="6" t="s">
        <v>481</v>
      </c>
      <c r="B482" s="10" t="n">
        <v>5.8173</v>
      </c>
      <c r="C482" s="7" t="n">
        <f aca="false">(B482-B481)/B481*100</f>
        <v>0.744679008711015</v>
      </c>
    </row>
    <row r="483" customFormat="false" ht="15" hidden="false" customHeight="false" outlineLevel="0" collapsed="false">
      <c r="A483" s="6" t="s">
        <v>482</v>
      </c>
      <c r="B483" s="10" t="n">
        <v>5.8124</v>
      </c>
      <c r="C483" s="7" t="n">
        <f aca="false">(B483-B482)/B482*100</f>
        <v>-0.0842315163391973</v>
      </c>
    </row>
    <row r="484" customFormat="false" ht="15" hidden="false" customHeight="false" outlineLevel="0" collapsed="false">
      <c r="A484" s="6" t="s">
        <v>483</v>
      </c>
      <c r="B484" s="10" t="n">
        <v>5.8002</v>
      </c>
      <c r="C484" s="7" t="n">
        <f aca="false">(B484-B483)/B483*100</f>
        <v>-0.209896084233707</v>
      </c>
    </row>
    <row r="485" customFormat="false" ht="15" hidden="false" customHeight="false" outlineLevel="0" collapsed="false">
      <c r="A485" s="6" t="s">
        <v>484</v>
      </c>
      <c r="B485" s="10" t="n">
        <v>5.799</v>
      </c>
      <c r="C485" s="7" t="n">
        <f aca="false">(B485-B484)/B484*100</f>
        <v>-0.0206889417606267</v>
      </c>
    </row>
    <row r="486" customFormat="false" ht="15" hidden="false" customHeight="false" outlineLevel="0" collapsed="false">
      <c r="A486" s="6" t="s">
        <v>485</v>
      </c>
      <c r="B486" s="10" t="n">
        <v>5.8291</v>
      </c>
      <c r="C486" s="7" t="n">
        <f aca="false">(B486-B485)/B485*100</f>
        <v>0.519055009484394</v>
      </c>
    </row>
    <row r="487" customFormat="false" ht="15" hidden="false" customHeight="false" outlineLevel="0" collapsed="false">
      <c r="A487" s="6" t="s">
        <v>486</v>
      </c>
      <c r="B487" s="10" t="n">
        <v>5.9871</v>
      </c>
      <c r="C487" s="7" t="n">
        <f aca="false">(B487-B486)/B486*100</f>
        <v>2.71053850508654</v>
      </c>
    </row>
    <row r="488" customFormat="false" ht="15" hidden="false" customHeight="false" outlineLevel="0" collapsed="false">
      <c r="A488" s="6" t="s">
        <v>487</v>
      </c>
      <c r="B488" s="10" t="n">
        <v>6.0535</v>
      </c>
      <c r="C488" s="7" t="n">
        <f aca="false">(B488-B487)/B487*100</f>
        <v>1.10905112658883</v>
      </c>
    </row>
    <row r="489" customFormat="false" ht="15" hidden="false" customHeight="false" outlineLevel="0" collapsed="false">
      <c r="A489" s="6" t="s">
        <v>488</v>
      </c>
      <c r="B489" s="10" t="n">
        <v>6.0634</v>
      </c>
      <c r="C489" s="7" t="n">
        <f aca="false">(B489-B488)/B488*100</f>
        <v>0.163541752705047</v>
      </c>
    </row>
    <row r="490" customFormat="false" ht="15" hidden="false" customHeight="false" outlineLevel="0" collapsed="false">
      <c r="A490" s="6" t="s">
        <v>489</v>
      </c>
      <c r="B490" s="10" t="n">
        <v>6.0707</v>
      </c>
      <c r="C490" s="7" t="n">
        <f aca="false">(B490-B489)/B489*100</f>
        <v>0.120394498136372</v>
      </c>
    </row>
    <row r="491" customFormat="false" ht="15" hidden="false" customHeight="false" outlineLevel="0" collapsed="false">
      <c r="A491" s="6" t="s">
        <v>490</v>
      </c>
      <c r="B491" s="10" t="n">
        <v>6.0581</v>
      </c>
      <c r="C491" s="7" t="n">
        <f aca="false">(B491-B490)/B490*100</f>
        <v>-0.207554318282914</v>
      </c>
    </row>
    <row r="492" customFormat="false" ht="15" hidden="false" customHeight="false" outlineLevel="0" collapsed="false">
      <c r="A492" s="6" t="s">
        <v>491</v>
      </c>
      <c r="B492" s="10" t="n">
        <v>5.9849</v>
      </c>
      <c r="C492" s="7" t="n">
        <f aca="false">(B492-B491)/B491*100</f>
        <v>-1.20829963189779</v>
      </c>
    </row>
    <row r="493" customFormat="false" ht="15" hidden="false" customHeight="false" outlineLevel="0" collapsed="false">
      <c r="A493" s="6" t="s">
        <v>492</v>
      </c>
      <c r="B493" s="10" t="n">
        <v>6.0293</v>
      </c>
      <c r="C493" s="7" t="n">
        <f aca="false">(B493-B492)/B492*100</f>
        <v>0.741867032030618</v>
      </c>
    </row>
    <row r="494" customFormat="false" ht="15" hidden="false" customHeight="false" outlineLevel="0" collapsed="false">
      <c r="A494" s="6" t="s">
        <v>493</v>
      </c>
      <c r="B494" s="10" t="n">
        <v>6.057</v>
      </c>
      <c r="C494" s="7" t="n">
        <f aca="false">(B494-B493)/B493*100</f>
        <v>0.45942315028279</v>
      </c>
    </row>
    <row r="495" customFormat="false" ht="15" hidden="false" customHeight="false" outlineLevel="0" collapsed="false">
      <c r="A495" s="6" t="s">
        <v>494</v>
      </c>
      <c r="B495" s="10" t="n">
        <v>6.0529</v>
      </c>
      <c r="C495" s="7" t="n">
        <f aca="false">(B495-B494)/B494*100</f>
        <v>-0.0676902757140534</v>
      </c>
    </row>
    <row r="496" customFormat="false" ht="15" hidden="false" customHeight="false" outlineLevel="0" collapsed="false">
      <c r="A496" s="6" t="s">
        <v>495</v>
      </c>
      <c r="B496" s="10" t="n">
        <v>6.032</v>
      </c>
      <c r="C496" s="7" t="n">
        <f aca="false">(B496-B495)/B495*100</f>
        <v>-0.345289035008015</v>
      </c>
    </row>
    <row r="497" customFormat="false" ht="15" hidden="false" customHeight="false" outlineLevel="0" collapsed="false">
      <c r="A497" s="6" t="s">
        <v>496</v>
      </c>
      <c r="B497" s="10" t="n">
        <v>5.9408</v>
      </c>
      <c r="C497" s="7" t="n">
        <f aca="false">(B497-B496)/B496*100</f>
        <v>-1.51193633952254</v>
      </c>
    </row>
    <row r="498" customFormat="false" ht="15" hidden="false" customHeight="false" outlineLevel="0" collapsed="false">
      <c r="A498" s="6" t="s">
        <v>497</v>
      </c>
      <c r="B498" s="10" t="n">
        <v>6.04</v>
      </c>
      <c r="C498" s="7" t="n">
        <f aca="false">(B498-B497)/B497*100</f>
        <v>1.66980877996229</v>
      </c>
    </row>
    <row r="499" customFormat="false" ht="15" hidden="false" customHeight="false" outlineLevel="0" collapsed="false">
      <c r="A499" s="6" t="s">
        <v>498</v>
      </c>
      <c r="B499" s="10" t="n">
        <v>6.0509</v>
      </c>
      <c r="C499" s="7" t="n">
        <f aca="false">(B499-B498)/B498*100</f>
        <v>0.180463576158946</v>
      </c>
    </row>
    <row r="500" customFormat="false" ht="15" hidden="false" customHeight="false" outlineLevel="0" collapsed="false">
      <c r="A500" s="6" t="s">
        <v>499</v>
      </c>
      <c r="B500" s="10" t="n">
        <v>6.1685</v>
      </c>
      <c r="C500" s="7" t="n">
        <f aca="false">(B500-B499)/B499*100</f>
        <v>1.94351253532532</v>
      </c>
    </row>
    <row r="501" customFormat="false" ht="15" hidden="false" customHeight="false" outlineLevel="0" collapsed="false">
      <c r="A501" s="6" t="s">
        <v>500</v>
      </c>
      <c r="B501" s="10" t="n">
        <v>6.1624</v>
      </c>
      <c r="C501" s="7" t="n">
        <f aca="false">(B501-B500)/B500*100</f>
        <v>-0.0988895193320904</v>
      </c>
    </row>
    <row r="502" customFormat="false" ht="15" hidden="false" customHeight="false" outlineLevel="0" collapsed="false">
      <c r="A502" s="6" t="s">
        <v>501</v>
      </c>
      <c r="B502" s="10" t="n">
        <v>6.1841</v>
      </c>
      <c r="C502" s="7" t="n">
        <f aca="false">(B502-B501)/B501*100</f>
        <v>0.352135531611062</v>
      </c>
    </row>
    <row r="503" customFormat="false" ht="15" hidden="false" customHeight="false" outlineLevel="0" collapsed="false">
      <c r="A503" s="6" t="s">
        <v>502</v>
      </c>
      <c r="B503" s="10" t="n">
        <v>6.078</v>
      </c>
      <c r="C503" s="7" t="n">
        <f aca="false">(B503-B502)/B502*100</f>
        <v>-1.71569023786808</v>
      </c>
    </row>
    <row r="504" customFormat="false" ht="15" hidden="false" customHeight="false" outlineLevel="0" collapsed="false">
      <c r="A504" s="6" t="s">
        <v>503</v>
      </c>
      <c r="B504" s="10" t="n">
        <v>6.1612</v>
      </c>
      <c r="C504" s="7" t="n">
        <f aca="false">(B504-B503)/B503*100</f>
        <v>1.36887133925633</v>
      </c>
    </row>
    <row r="505" customFormat="false" ht="15" hidden="false" customHeight="false" outlineLevel="0" collapsed="false">
      <c r="A505" s="6" t="s">
        <v>504</v>
      </c>
      <c r="B505" s="10" t="n">
        <v>6.1541</v>
      </c>
      <c r="C505" s="7" t="n">
        <f aca="false">(B505-B504)/B504*100</f>
        <v>-0.115237291436738</v>
      </c>
    </row>
    <row r="506" customFormat="false" ht="15" hidden="false" customHeight="false" outlineLevel="0" collapsed="false">
      <c r="A506" s="6" t="s">
        <v>505</v>
      </c>
      <c r="B506" s="10" t="n">
        <v>6.1656</v>
      </c>
      <c r="C506" s="7" t="n">
        <f aca="false">(B506-B505)/B505*100</f>
        <v>0.186867291724228</v>
      </c>
    </row>
    <row r="507" customFormat="false" ht="15" hidden="false" customHeight="false" outlineLevel="0" collapsed="false">
      <c r="A507" s="6" t="s">
        <v>506</v>
      </c>
      <c r="B507" s="10" t="n">
        <v>6.1991</v>
      </c>
      <c r="C507" s="7" t="n">
        <f aca="false">(B507-B506)/B506*100</f>
        <v>0.543337225898521</v>
      </c>
    </row>
    <row r="508" customFormat="false" ht="15" hidden="false" customHeight="false" outlineLevel="0" collapsed="false">
      <c r="A508" s="6" t="s">
        <v>507</v>
      </c>
      <c r="B508" s="10" t="n">
        <v>6.1923</v>
      </c>
      <c r="C508" s="7" t="n">
        <f aca="false">(B508-B507)/B507*100</f>
        <v>-0.109693342581976</v>
      </c>
    </row>
    <row r="509" customFormat="false" ht="15" hidden="false" customHeight="false" outlineLevel="0" collapsed="false">
      <c r="A509" s="6" t="s">
        <v>508</v>
      </c>
      <c r="B509" s="10" t="n">
        <v>6.1923</v>
      </c>
      <c r="C509" s="7" t="n">
        <f aca="false">(B509-B508)/B508*100</f>
        <v>0</v>
      </c>
    </row>
    <row r="510" customFormat="false" ht="15" hidden="false" customHeight="false" outlineLevel="0" collapsed="false">
      <c r="A510" s="6" t="s">
        <v>509</v>
      </c>
      <c r="B510" s="10" t="n">
        <v>6.2086</v>
      </c>
      <c r="C510" s="7" t="n">
        <f aca="false">(B510-B509)/B509*100</f>
        <v>0.263230140658549</v>
      </c>
    </row>
    <row r="511" customFormat="false" ht="15" hidden="false" customHeight="false" outlineLevel="0" collapsed="false">
      <c r="A511" s="6" t="s">
        <v>510</v>
      </c>
      <c r="B511" s="10" t="n">
        <v>6.1563</v>
      </c>
      <c r="C511" s="7" t="n">
        <f aca="false">(B511-B510)/B510*100</f>
        <v>-0.842379924620684</v>
      </c>
    </row>
    <row r="512" customFormat="false" ht="15" hidden="false" customHeight="false" outlineLevel="0" collapsed="false">
      <c r="A512" s="6" t="s">
        <v>511</v>
      </c>
      <c r="B512" s="10" t="n">
        <v>6.1119</v>
      </c>
      <c r="C512" s="7" t="n">
        <f aca="false">(B512-B511)/B511*100</f>
        <v>-0.721212416548894</v>
      </c>
    </row>
    <row r="513" customFormat="false" ht="15" hidden="false" customHeight="false" outlineLevel="0" collapsed="false">
      <c r="A513" s="6" t="s">
        <v>512</v>
      </c>
      <c r="B513" s="10" t="n">
        <v>6.0741</v>
      </c>
      <c r="C513" s="7" t="n">
        <f aca="false">(B513-B512)/B512*100</f>
        <v>-0.618465616256822</v>
      </c>
    </row>
    <row r="514" customFormat="false" ht="15" hidden="false" customHeight="false" outlineLevel="0" collapsed="false">
      <c r="A514" s="6" t="s">
        <v>513</v>
      </c>
      <c r="B514" s="10" t="n">
        <v>6.1321</v>
      </c>
      <c r="C514" s="7" t="n">
        <f aca="false">(B514-B513)/B513*100</f>
        <v>0.954873973098907</v>
      </c>
    </row>
    <row r="515" customFormat="false" ht="15" hidden="false" customHeight="false" outlineLevel="0" collapsed="false">
      <c r="A515" s="6" t="s">
        <v>514</v>
      </c>
      <c r="B515" s="10" t="n">
        <v>6.0896</v>
      </c>
      <c r="C515" s="7" t="n">
        <f aca="false">(B515-B514)/B514*100</f>
        <v>-0.693074150780327</v>
      </c>
    </row>
    <row r="516" customFormat="false" ht="15" hidden="false" customHeight="false" outlineLevel="0" collapsed="false">
      <c r="A516" s="6" t="s">
        <v>515</v>
      </c>
      <c r="B516" s="10" t="n">
        <v>6.0965</v>
      </c>
      <c r="C516" s="7" t="n">
        <f aca="false">(B516-B515)/B515*100</f>
        <v>0.113307934839725</v>
      </c>
    </row>
    <row r="517" customFormat="false" ht="15" hidden="false" customHeight="false" outlineLevel="0" collapsed="false">
      <c r="A517" s="6" t="s">
        <v>516</v>
      </c>
      <c r="B517" s="10" t="n">
        <v>6.1079</v>
      </c>
      <c r="C517" s="7" t="n">
        <f aca="false">(B517-B516)/B516*100</f>
        <v>0.186992536701387</v>
      </c>
    </row>
    <row r="518" customFormat="false" ht="15" hidden="false" customHeight="false" outlineLevel="0" collapsed="false">
      <c r="A518" s="6" t="s">
        <v>517</v>
      </c>
      <c r="B518" s="10" t="n">
        <v>6.0671</v>
      </c>
      <c r="C518" s="7" t="n">
        <f aca="false">(B518-B517)/B517*100</f>
        <v>-0.667987360631313</v>
      </c>
    </row>
    <row r="519" customFormat="false" ht="15" hidden="false" customHeight="false" outlineLevel="0" collapsed="false">
      <c r="A519" s="6" t="s">
        <v>518</v>
      </c>
      <c r="B519" s="10" t="n">
        <v>6.0377</v>
      </c>
      <c r="C519" s="7" t="n">
        <f aca="false">(B519-B518)/B518*100</f>
        <v>-0.484580771703118</v>
      </c>
    </row>
    <row r="520" customFormat="false" ht="15" hidden="false" customHeight="false" outlineLevel="0" collapsed="false">
      <c r="A520" s="6" t="s">
        <v>519</v>
      </c>
      <c r="B520" s="10" t="n">
        <v>6.0322</v>
      </c>
      <c r="C520" s="7" t="n">
        <f aca="false">(B520-B519)/B519*100</f>
        <v>-0.0910942908723604</v>
      </c>
    </row>
    <row r="521" customFormat="false" ht="15" hidden="false" customHeight="false" outlineLevel="0" collapsed="false">
      <c r="A521" s="6" t="s">
        <v>520</v>
      </c>
      <c r="B521" s="10" t="n">
        <v>6.0609</v>
      </c>
      <c r="C521" s="7" t="n">
        <f aca="false">(B521-B520)/B520*100</f>
        <v>0.475779980769879</v>
      </c>
    </row>
    <row r="522" customFormat="false" ht="15" hidden="false" customHeight="false" outlineLevel="0" collapsed="false">
      <c r="A522" s="6" t="s">
        <v>521</v>
      </c>
      <c r="B522" s="10" t="n">
        <v>6.0498</v>
      </c>
      <c r="C522" s="7" t="n">
        <f aca="false">(B522-B521)/B521*100</f>
        <v>-0.183141117655792</v>
      </c>
    </row>
    <row r="523" customFormat="false" ht="15" hidden="false" customHeight="false" outlineLevel="0" collapsed="false">
      <c r="A523" s="6" t="s">
        <v>522</v>
      </c>
      <c r="B523" s="10" t="n">
        <v>6.044</v>
      </c>
      <c r="C523" s="7" t="n">
        <f aca="false">(B523-B522)/B522*100</f>
        <v>-0.0958709378822555</v>
      </c>
    </row>
    <row r="524" customFormat="false" ht="15" hidden="false" customHeight="false" outlineLevel="0" collapsed="false">
      <c r="A524" s="6" t="s">
        <v>523</v>
      </c>
      <c r="B524" s="10" t="n">
        <v>5.9674</v>
      </c>
      <c r="C524" s="7" t="n">
        <f aca="false">(B524-B523)/B523*100</f>
        <v>-1.26737260092654</v>
      </c>
    </row>
    <row r="525" customFormat="false" ht="15" hidden="false" customHeight="false" outlineLevel="0" collapsed="false">
      <c r="A525" s="6" t="s">
        <v>524</v>
      </c>
      <c r="B525" s="10" t="n">
        <v>5.9399</v>
      </c>
      <c r="C525" s="7" t="n">
        <f aca="false">(B525-B524)/B524*100</f>
        <v>-0.460837215537753</v>
      </c>
    </row>
    <row r="526" customFormat="false" ht="15" hidden="false" customHeight="false" outlineLevel="0" collapsed="false">
      <c r="A526" s="6" t="s">
        <v>525</v>
      </c>
      <c r="B526" s="10" t="n">
        <v>5.8925</v>
      </c>
      <c r="C526" s="7" t="n">
        <f aca="false">(B526-B525)/B525*100</f>
        <v>-0.797993232209291</v>
      </c>
    </row>
    <row r="527" customFormat="false" ht="15" hidden="false" customHeight="false" outlineLevel="0" collapsed="false">
      <c r="A527" s="6" t="s">
        <v>526</v>
      </c>
      <c r="B527" s="10" t="n">
        <v>5.9272</v>
      </c>
      <c r="C527" s="7" t="n">
        <f aca="false">(B527-B526)/B526*100</f>
        <v>0.588884174798472</v>
      </c>
    </row>
    <row r="528" customFormat="false" ht="15" hidden="false" customHeight="false" outlineLevel="0" collapsed="false">
      <c r="A528" s="6" t="s">
        <v>527</v>
      </c>
      <c r="B528" s="10" t="n">
        <v>5.893</v>
      </c>
      <c r="C528" s="7" t="n">
        <f aca="false">(B528-B527)/B527*100</f>
        <v>-0.577000944796873</v>
      </c>
    </row>
    <row r="529" customFormat="false" ht="15" hidden="false" customHeight="false" outlineLevel="0" collapsed="false">
      <c r="A529" s="6" t="s">
        <v>528</v>
      </c>
      <c r="B529" s="10" t="n">
        <v>5.8596</v>
      </c>
      <c r="C529" s="7" t="n">
        <f aca="false">(B529-B528)/B528*100</f>
        <v>-0.566774138808747</v>
      </c>
    </row>
    <row r="530" customFormat="false" ht="15" hidden="false" customHeight="false" outlineLevel="0" collapsed="false">
      <c r="A530" s="6" t="s">
        <v>529</v>
      </c>
      <c r="B530" s="10" t="n">
        <v>5.9006</v>
      </c>
      <c r="C530" s="7" t="n">
        <f aca="false">(B530-B529)/B529*100</f>
        <v>0.699706464605084</v>
      </c>
    </row>
    <row r="531" customFormat="false" ht="15" hidden="false" customHeight="false" outlineLevel="0" collapsed="false">
      <c r="A531" s="6" t="s">
        <v>530</v>
      </c>
      <c r="B531" s="10" t="n">
        <v>5.8301</v>
      </c>
      <c r="C531" s="7" t="n">
        <f aca="false">(B531-B530)/B530*100</f>
        <v>-1.19479374978816</v>
      </c>
    </row>
    <row r="532" customFormat="false" ht="15" hidden="false" customHeight="false" outlineLevel="0" collapsed="false">
      <c r="A532" s="6" t="s">
        <v>531</v>
      </c>
      <c r="B532" s="10" t="n">
        <v>5.8687</v>
      </c>
      <c r="C532" s="7" t="n">
        <f aca="false">(B532-B531)/B531*100</f>
        <v>0.662081267902776</v>
      </c>
    </row>
    <row r="533" customFormat="false" ht="15" hidden="false" customHeight="false" outlineLevel="0" collapsed="false">
      <c r="A533" s="6" t="s">
        <v>532</v>
      </c>
      <c r="B533" s="10" t="n">
        <v>5.7927</v>
      </c>
      <c r="C533" s="7" t="n">
        <f aca="false">(B533-B532)/B532*100</f>
        <v>-1.29500570824884</v>
      </c>
    </row>
    <row r="534" customFormat="false" ht="15" hidden="false" customHeight="false" outlineLevel="0" collapsed="false">
      <c r="A534" s="6" t="s">
        <v>533</v>
      </c>
      <c r="B534" s="10" t="n">
        <v>5.7997</v>
      </c>
      <c r="C534" s="7" t="n">
        <f aca="false">(B534-B533)/B533*100</f>
        <v>0.120841749097997</v>
      </c>
    </row>
    <row r="535" customFormat="false" ht="15" hidden="false" customHeight="false" outlineLevel="0" collapsed="false">
      <c r="A535" s="6" t="s">
        <v>534</v>
      </c>
      <c r="B535" s="10" t="n">
        <v>5.7856</v>
      </c>
      <c r="C535" s="7" t="n">
        <f aca="false">(B535-B534)/B534*100</f>
        <v>-0.243116023242582</v>
      </c>
    </row>
    <row r="536" customFormat="false" ht="15" hidden="false" customHeight="false" outlineLevel="0" collapsed="false">
      <c r="A536" s="6" t="s">
        <v>535</v>
      </c>
      <c r="B536" s="10" t="n">
        <v>5.7557</v>
      </c>
      <c r="C536" s="7" t="n">
        <f aca="false">(B536-B535)/B535*100</f>
        <v>-0.5168003318584</v>
      </c>
    </row>
    <row r="537" customFormat="false" ht="15" hidden="false" customHeight="false" outlineLevel="0" collapsed="false">
      <c r="A537" s="6" t="s">
        <v>536</v>
      </c>
      <c r="B537" s="10" t="n">
        <v>5.7808</v>
      </c>
      <c r="C537" s="7" t="n">
        <f aca="false">(B537-B536)/B536*100</f>
        <v>0.436089441770768</v>
      </c>
    </row>
    <row r="538" customFormat="false" ht="15" hidden="false" customHeight="false" outlineLevel="0" collapsed="false">
      <c r="A538" s="6" t="s">
        <v>537</v>
      </c>
      <c r="B538" s="10" t="n">
        <v>5.7788</v>
      </c>
      <c r="C538" s="7" t="n">
        <f aca="false">(B538-B537)/B537*100</f>
        <v>-0.0345972875726505</v>
      </c>
    </row>
    <row r="539" customFormat="false" ht="15" hidden="false" customHeight="false" outlineLevel="0" collapsed="false">
      <c r="A539" s="6" t="s">
        <v>538</v>
      </c>
      <c r="B539" s="10" t="n">
        <v>5.7711</v>
      </c>
      <c r="C539" s="7" t="n">
        <f aca="false">(B539-B538)/B538*100</f>
        <v>-0.133245656537702</v>
      </c>
    </row>
    <row r="540" customFormat="false" ht="15" hidden="false" customHeight="false" outlineLevel="0" collapsed="false">
      <c r="A540" s="6" t="s">
        <v>539</v>
      </c>
      <c r="B540" s="10" t="n">
        <v>5.7788</v>
      </c>
      <c r="C540" s="7" t="n">
        <f aca="false">(B540-B539)/B539*100</f>
        <v>0.133423437472938</v>
      </c>
    </row>
    <row r="541" customFormat="false" ht="15" hidden="false" customHeight="false" outlineLevel="0" collapsed="false">
      <c r="A541" s="6" t="s">
        <v>540</v>
      </c>
      <c r="B541" s="10" t="n">
        <v>5.7283</v>
      </c>
      <c r="C541" s="7" t="n">
        <f aca="false">(B541-B540)/B540*100</f>
        <v>-0.87388385131862</v>
      </c>
    </row>
    <row r="542" customFormat="false" ht="15" hidden="false" customHeight="false" outlineLevel="0" collapsed="false">
      <c r="A542" s="6" t="s">
        <v>541</v>
      </c>
      <c r="B542" s="10" t="n">
        <v>5.7105</v>
      </c>
      <c r="C542" s="7" t="n">
        <f aca="false">(B542-B541)/B541*100</f>
        <v>-0.310737915262822</v>
      </c>
    </row>
    <row r="543" customFormat="false" ht="15" hidden="false" customHeight="false" outlineLevel="0" collapsed="false">
      <c r="A543" s="6" t="s">
        <v>542</v>
      </c>
      <c r="B543" s="10" t="n">
        <v>5.6979</v>
      </c>
      <c r="C543" s="7" t="n">
        <f aca="false">(B543-B542)/B542*100</f>
        <v>-0.220646178092986</v>
      </c>
    </row>
    <row r="544" customFormat="false" ht="15" hidden="false" customHeight="false" outlineLevel="0" collapsed="false">
      <c r="A544" s="6" t="s">
        <v>543</v>
      </c>
      <c r="B544" s="10" t="n">
        <v>5.7087</v>
      </c>
      <c r="C544" s="7" t="n">
        <f aca="false">(B544-B543)/B543*100</f>
        <v>0.189543516032233</v>
      </c>
    </row>
    <row r="545" customFormat="false" ht="15" hidden="false" customHeight="false" outlineLevel="0" collapsed="false">
      <c r="A545" s="6" t="s">
        <v>544</v>
      </c>
      <c r="B545" s="10" t="n">
        <v>5.7019</v>
      </c>
      <c r="C545" s="7" t="n">
        <f aca="false">(B545-B544)/B544*100</f>
        <v>-0.119116436316502</v>
      </c>
    </row>
    <row r="546" customFormat="false" ht="15" hidden="false" customHeight="false" outlineLevel="0" collapsed="false">
      <c r="A546" s="6" t="s">
        <v>545</v>
      </c>
      <c r="B546" s="10" t="n">
        <v>5.7027</v>
      </c>
      <c r="C546" s="7" t="n">
        <f aca="false">(B546-B545)/B545*100</f>
        <v>0.0140304109156581</v>
      </c>
    </row>
    <row r="547" customFormat="false" ht="15" hidden="false" customHeight="false" outlineLevel="0" collapsed="false">
      <c r="A547" s="6" t="s">
        <v>546</v>
      </c>
      <c r="B547" s="10" t="n">
        <v>5.7258</v>
      </c>
      <c r="C547" s="7" t="n">
        <f aca="false">(B547-B546)/B546*100</f>
        <v>0.405071282024295</v>
      </c>
    </row>
    <row r="548" customFormat="false" ht="15" hidden="false" customHeight="false" outlineLevel="0" collapsed="false">
      <c r="A548" s="6" t="s">
        <v>547</v>
      </c>
      <c r="B548" s="10" t="n">
        <v>5.7779</v>
      </c>
      <c r="C548" s="7" t="n">
        <f aca="false">(B548-B547)/B547*100</f>
        <v>0.9099165182158</v>
      </c>
    </row>
    <row r="549" customFormat="false" ht="15" hidden="false" customHeight="false" outlineLevel="0" collapsed="false">
      <c r="A549" s="6" t="s">
        <v>548</v>
      </c>
      <c r="B549" s="10" t="n">
        <v>5.7757</v>
      </c>
      <c r="C549" s="7" t="n">
        <f aca="false">(B549-B548)/B548*100</f>
        <v>-0.0380761176205923</v>
      </c>
    </row>
    <row r="550" customFormat="false" ht="15" hidden="false" customHeight="false" outlineLevel="0" collapsed="false">
      <c r="A550" s="6" t="s">
        <v>549</v>
      </c>
      <c r="B550" s="10" t="n">
        <v>5.8228</v>
      </c>
      <c r="C550" s="7" t="n">
        <f aca="false">(B550-B549)/B549*100</f>
        <v>0.815485568848804</v>
      </c>
    </row>
    <row r="551" customFormat="false" ht="15" hidden="false" customHeight="false" outlineLevel="0" collapsed="false">
      <c r="A551" s="6" t="s">
        <v>550</v>
      </c>
      <c r="B551" s="10" t="n">
        <v>5.8488</v>
      </c>
      <c r="C551" s="7" t="n">
        <f aca="false">(B551-B550)/B550*100</f>
        <v>0.446520574294151</v>
      </c>
    </row>
    <row r="552" customFormat="false" ht="15" hidden="false" customHeight="false" outlineLevel="0" collapsed="false">
      <c r="A552" s="6" t="s">
        <v>551</v>
      </c>
      <c r="B552" s="10" t="n">
        <v>5.7914</v>
      </c>
      <c r="C552" s="7" t="n">
        <f aca="false">(B552-B551)/B551*100</f>
        <v>-0.981397893585</v>
      </c>
    </row>
    <row r="553" customFormat="false" ht="15" hidden="false" customHeight="false" outlineLevel="0" collapsed="false">
      <c r="A553" s="6" t="s">
        <v>552</v>
      </c>
      <c r="B553" s="10" t="n">
        <v>5.7489</v>
      </c>
      <c r="C553" s="7" t="n">
        <f aca="false">(B553-B552)/B552*100</f>
        <v>-0.733846738267093</v>
      </c>
    </row>
    <row r="554" customFormat="false" ht="15" hidden="false" customHeight="false" outlineLevel="0" collapsed="false">
      <c r="A554" s="6" t="s">
        <v>553</v>
      </c>
      <c r="B554" s="10" t="n">
        <v>5.7688</v>
      </c>
      <c r="C554" s="7" t="n">
        <f aca="false">(B554-B553)/B553*100</f>
        <v>0.346153177129535</v>
      </c>
    </row>
    <row r="555" customFormat="false" ht="15" hidden="false" customHeight="false" outlineLevel="0" collapsed="false">
      <c r="A555" s="6" t="s">
        <v>554</v>
      </c>
      <c r="B555" s="10" t="n">
        <v>5.793</v>
      </c>
      <c r="C555" s="7" t="n">
        <f aca="false">(B555-B554)/B554*100</f>
        <v>0.4194979891832</v>
      </c>
    </row>
    <row r="556" customFormat="false" ht="15" hidden="false" customHeight="false" outlineLevel="0" collapsed="false">
      <c r="A556" s="6" t="s">
        <v>555</v>
      </c>
      <c r="B556" s="10" t="n">
        <v>5.8346</v>
      </c>
      <c r="C556" s="7" t="n">
        <f aca="false">(B556-B555)/B555*100</f>
        <v>0.718108061453476</v>
      </c>
    </row>
    <row r="557" customFormat="false" ht="15" hidden="false" customHeight="false" outlineLevel="0" collapsed="false">
      <c r="A557" s="6" t="s">
        <v>556</v>
      </c>
      <c r="B557" s="10" t="n">
        <v>5.8268</v>
      </c>
      <c r="C557" s="7" t="n">
        <f aca="false">(B557-B556)/B556*100</f>
        <v>-0.133685256915634</v>
      </c>
    </row>
    <row r="558" customFormat="false" ht="15" hidden="false" customHeight="false" outlineLevel="0" collapsed="false">
      <c r="A558" s="6" t="s">
        <v>557</v>
      </c>
      <c r="B558" s="10" t="n">
        <v>5.8131</v>
      </c>
      <c r="C558" s="7" t="n">
        <f aca="false">(B558-B557)/B557*100</f>
        <v>-0.235120477792271</v>
      </c>
    </row>
    <row r="559" customFormat="false" ht="15" hidden="false" customHeight="false" outlineLevel="0" collapsed="false">
      <c r="A559" s="6" t="s">
        <v>558</v>
      </c>
      <c r="B559" s="10" t="n">
        <v>5.7419</v>
      </c>
      <c r="C559" s="7" t="n">
        <f aca="false">(B559-B558)/B558*100</f>
        <v>-1.22481980354716</v>
      </c>
    </row>
    <row r="560" customFormat="false" ht="15" hidden="false" customHeight="false" outlineLevel="0" collapsed="false">
      <c r="A560" s="6" t="s">
        <v>559</v>
      </c>
      <c r="B560" s="10" t="n">
        <v>5.7082</v>
      </c>
      <c r="C560" s="7" t="n">
        <f aca="false">(B560-B559)/B559*100</f>
        <v>-0.586913739354578</v>
      </c>
    </row>
    <row r="561" customFormat="false" ht="15" hidden="false" customHeight="false" outlineLevel="0" collapsed="false">
      <c r="A561" s="6" t="s">
        <v>560</v>
      </c>
      <c r="B561" s="10" t="n">
        <v>5.6852</v>
      </c>
      <c r="C561" s="7" t="n">
        <f aca="false">(B561-B560)/B560*100</f>
        <v>-0.402929119512275</v>
      </c>
    </row>
    <row r="562" customFormat="false" ht="15" hidden="false" customHeight="false" outlineLevel="0" collapsed="false">
      <c r="A562" s="6" t="s">
        <v>561</v>
      </c>
      <c r="B562" s="10" t="n">
        <v>5.6657</v>
      </c>
      <c r="C562" s="7" t="n">
        <f aca="false">(B562-B561)/B561*100</f>
        <v>-0.34299584887075</v>
      </c>
    </row>
    <row r="563" customFormat="false" ht="15" hidden="false" customHeight="false" outlineLevel="0" collapsed="false">
      <c r="A563" s="6" t="s">
        <v>562</v>
      </c>
      <c r="B563" s="10" t="n">
        <v>5.6628</v>
      </c>
      <c r="C563" s="7" t="n">
        <f aca="false">(B563-B562)/B562*100</f>
        <v>-0.0511852021815547</v>
      </c>
    </row>
    <row r="564" customFormat="false" ht="15" hidden="false" customHeight="false" outlineLevel="0" collapsed="false">
      <c r="A564" s="6" t="s">
        <v>563</v>
      </c>
      <c r="B564" s="10" t="n">
        <v>5.7241</v>
      </c>
      <c r="C564" s="7" t="n">
        <f aca="false">(B564-B563)/B563*100</f>
        <v>1.08250335523063</v>
      </c>
    </row>
    <row r="565" customFormat="false" ht="15" hidden="false" customHeight="false" outlineLevel="0" collapsed="false">
      <c r="A565" s="6" t="s">
        <v>564</v>
      </c>
      <c r="B565" s="10" t="n">
        <v>5.7403</v>
      </c>
      <c r="C565" s="7" t="n">
        <f aca="false">(B565-B564)/B564*100</f>
        <v>0.283013923586248</v>
      </c>
    </row>
    <row r="566" customFormat="false" ht="15" hidden="false" customHeight="false" outlineLevel="0" collapsed="false">
      <c r="A566" s="6" t="s">
        <v>565</v>
      </c>
      <c r="B566" s="10" t="n">
        <v>5.6992</v>
      </c>
      <c r="C566" s="7" t="n">
        <f aca="false">(B566-B565)/B565*100</f>
        <v>-0.715990453460623</v>
      </c>
    </row>
    <row r="567" customFormat="false" ht="15" hidden="false" customHeight="false" outlineLevel="0" collapsed="false">
      <c r="A567" s="6" t="s">
        <v>566</v>
      </c>
      <c r="B567" s="10" t="n">
        <v>5.7298</v>
      </c>
      <c r="C567" s="7" t="n">
        <f aca="false">(B567-B566)/B566*100</f>
        <v>0.536917462099939</v>
      </c>
    </row>
    <row r="568" customFormat="false" ht="15" hidden="false" customHeight="false" outlineLevel="0" collapsed="false">
      <c r="A568" s="6" t="s">
        <v>567</v>
      </c>
      <c r="B568" s="10" t="n">
        <v>5.7474</v>
      </c>
      <c r="C568" s="7" t="n">
        <f aca="false">(B568-B567)/B567*100</f>
        <v>0.307166044190021</v>
      </c>
    </row>
    <row r="569" customFormat="false" ht="15" hidden="false" customHeight="false" outlineLevel="0" collapsed="false">
      <c r="A569" s="6" t="s">
        <v>568</v>
      </c>
      <c r="B569" s="10" t="n">
        <v>5.766</v>
      </c>
      <c r="C569" s="7" t="n">
        <f aca="false">(B569-B568)/B568*100</f>
        <v>0.323624595469259</v>
      </c>
    </row>
    <row r="570" customFormat="false" ht="15" hidden="false" customHeight="false" outlineLevel="0" collapsed="false">
      <c r="A570" s="6" t="s">
        <v>569</v>
      </c>
      <c r="B570" s="10" t="n">
        <v>5.7422</v>
      </c>
      <c r="C570" s="7" t="n">
        <f aca="false">(B570-B569)/B569*100</f>
        <v>-0.412764481442934</v>
      </c>
    </row>
    <row r="571" customFormat="false" ht="15" hidden="false" customHeight="false" outlineLevel="0" collapsed="false">
      <c r="A571" s="6" t="s">
        <v>570</v>
      </c>
      <c r="B571" s="10" t="n">
        <v>5.7051</v>
      </c>
      <c r="C571" s="7" t="n">
        <f aca="false">(B571-B570)/B570*100</f>
        <v>-0.646093831632485</v>
      </c>
    </row>
    <row r="572" customFormat="false" ht="15" hidden="false" customHeight="false" outlineLevel="0" collapsed="false">
      <c r="A572" s="6" t="s">
        <v>571</v>
      </c>
      <c r="B572" s="10" t="n">
        <v>5.6923</v>
      </c>
      <c r="C572" s="7" t="n">
        <f aca="false">(B572-B571)/B571*100</f>
        <v>-0.224360659760556</v>
      </c>
    </row>
    <row r="573" customFormat="false" ht="15" hidden="false" customHeight="false" outlineLevel="0" collapsed="false">
      <c r="A573" s="6" t="s">
        <v>572</v>
      </c>
      <c r="B573" s="10" t="n">
        <v>5.6067</v>
      </c>
      <c r="C573" s="7" t="n">
        <f aca="false">(B573-B572)/B572*100</f>
        <v>-1.50378581592678</v>
      </c>
    </row>
    <row r="574" customFormat="false" ht="15" hidden="false" customHeight="false" outlineLevel="0" collapsed="false">
      <c r="A574" s="6" t="s">
        <v>573</v>
      </c>
      <c r="B574" s="10" t="n">
        <v>5.7777</v>
      </c>
      <c r="C574" s="7" t="n">
        <f aca="false">(B574-B573)/B573*100</f>
        <v>3.04992241425438</v>
      </c>
    </row>
    <row r="575" customFormat="false" ht="15" hidden="false" customHeight="false" outlineLevel="0" collapsed="false">
      <c r="A575" s="6" t="s">
        <v>574</v>
      </c>
      <c r="B575" s="10" t="n">
        <v>5.8877</v>
      </c>
      <c r="C575" s="7" t="n">
        <f aca="false">(B575-B574)/B574*100</f>
        <v>1.90387178288938</v>
      </c>
    </row>
    <row r="576" customFormat="false" ht="15" hidden="false" customHeight="false" outlineLevel="0" collapsed="false">
      <c r="A576" s="6" t="s">
        <v>575</v>
      </c>
      <c r="B576" s="10" t="n">
        <v>5.9368</v>
      </c>
      <c r="C576" s="7" t="n">
        <f aca="false">(B576-B575)/B575*100</f>
        <v>0.833941946770388</v>
      </c>
    </row>
    <row r="577" customFormat="false" ht="15" hidden="false" customHeight="false" outlineLevel="0" collapsed="false">
      <c r="A577" s="6" t="s">
        <v>576</v>
      </c>
      <c r="B577" s="10" t="n">
        <v>6.0605</v>
      </c>
      <c r="C577" s="7" t="n">
        <f aca="false">(B577-B576)/B576*100</f>
        <v>2.08361406818489</v>
      </c>
    </row>
    <row r="578" customFormat="false" ht="15" hidden="false" customHeight="false" outlineLevel="0" collapsed="false">
      <c r="A578" s="6" t="s">
        <v>577</v>
      </c>
      <c r="B578" s="10" t="n">
        <v>5.9115</v>
      </c>
      <c r="C578" s="7" t="n">
        <f aca="false">(B578-B577)/B577*100</f>
        <v>-2.45854302450293</v>
      </c>
    </row>
    <row r="579" customFormat="false" ht="15" hidden="false" customHeight="false" outlineLevel="0" collapsed="false">
      <c r="A579" s="6" t="s">
        <v>578</v>
      </c>
      <c r="B579" s="10" t="n">
        <v>5.8737</v>
      </c>
      <c r="C579" s="7" t="n">
        <f aca="false">(B579-B578)/B578*100</f>
        <v>-0.639431616341027</v>
      </c>
    </row>
    <row r="580" customFormat="false" ht="15" hidden="false" customHeight="false" outlineLevel="0" collapsed="false">
      <c r="A580" s="6" t="s">
        <v>579</v>
      </c>
      <c r="B580" s="10" t="n">
        <v>5.8425</v>
      </c>
      <c r="C580" s="7" t="n">
        <f aca="false">(B580-B579)/B579*100</f>
        <v>-0.531181367792024</v>
      </c>
    </row>
    <row r="581" customFormat="false" ht="15" hidden="false" customHeight="false" outlineLevel="0" collapsed="false">
      <c r="A581" s="6" t="s">
        <v>580</v>
      </c>
      <c r="B581" s="10" t="n">
        <v>5.8707</v>
      </c>
      <c r="C581" s="7" t="n">
        <f aca="false">(B581-B580)/B580*100</f>
        <v>0.482670089858793</v>
      </c>
    </row>
    <row r="582" customFormat="false" ht="15" hidden="false" customHeight="false" outlineLevel="0" collapsed="false">
      <c r="A582" s="6" t="s">
        <v>581</v>
      </c>
      <c r="B582" s="10" t="n">
        <v>5.8808</v>
      </c>
      <c r="C582" s="7" t="n">
        <f aca="false">(B582-B581)/B581*100</f>
        <v>0.172040812850249</v>
      </c>
    </row>
    <row r="583" customFormat="false" ht="15" hidden="false" customHeight="false" outlineLevel="0" collapsed="false">
      <c r="A583" s="6" t="s">
        <v>582</v>
      </c>
      <c r="B583" s="10" t="n">
        <v>5.8559</v>
      </c>
      <c r="C583" s="7" t="n">
        <f aca="false">(B583-B582)/B582*100</f>
        <v>-0.423411780710102</v>
      </c>
    </row>
    <row r="584" customFormat="false" ht="15" hidden="false" customHeight="false" outlineLevel="0" collapsed="false">
      <c r="A584" s="6" t="s">
        <v>583</v>
      </c>
      <c r="B584" s="10" t="n">
        <v>5.7496</v>
      </c>
      <c r="C584" s="7" t="n">
        <f aca="false">(B584-B583)/B583*100</f>
        <v>-1.81526323878482</v>
      </c>
    </row>
    <row r="585" customFormat="false" ht="15" hidden="false" customHeight="false" outlineLevel="0" collapsed="false">
      <c r="A585" s="6" t="s">
        <v>584</v>
      </c>
      <c r="B585" s="10" t="n">
        <v>5.688</v>
      </c>
      <c r="C585" s="7" t="n">
        <f aca="false">(B585-B584)/B584*100</f>
        <v>-1.07137887853069</v>
      </c>
    </row>
    <row r="586" customFormat="false" ht="15" hidden="false" customHeight="false" outlineLevel="0" collapsed="false">
      <c r="A586" s="6" t="s">
        <v>585</v>
      </c>
      <c r="B586" s="10" t="n">
        <v>5.6738</v>
      </c>
      <c r="C586" s="7" t="n">
        <f aca="false">(B586-B585)/B585*100</f>
        <v>-0.249648382559771</v>
      </c>
    </row>
    <row r="587" customFormat="false" ht="15" hidden="false" customHeight="false" outlineLevel="0" collapsed="false">
      <c r="A587" s="6" t="s">
        <v>586</v>
      </c>
      <c r="B587" s="10" t="n">
        <v>5.6846</v>
      </c>
      <c r="C587" s="7" t="n">
        <f aca="false">(B587-B586)/B586*100</f>
        <v>0.1903486199725</v>
      </c>
    </row>
    <row r="588" customFormat="false" ht="15" hidden="false" customHeight="false" outlineLevel="0" collapsed="false">
      <c r="A588" s="6" t="s">
        <v>587</v>
      </c>
      <c r="B588" s="10" t="n">
        <v>5.6681</v>
      </c>
      <c r="C588" s="7" t="n">
        <f aca="false">(B588-B587)/B587*100</f>
        <v>-0.29025788973718</v>
      </c>
    </row>
    <row r="589" customFormat="false" ht="15" hidden="false" customHeight="false" outlineLevel="0" collapsed="false">
      <c r="A589" s="6" t="s">
        <v>588</v>
      </c>
      <c r="B589" s="10" t="n">
        <v>5.6467</v>
      </c>
      <c r="C589" s="7" t="n">
        <f aca="false">(B589-B588)/B588*100</f>
        <v>-0.377551560487639</v>
      </c>
    </row>
    <row r="590" customFormat="false" ht="15" hidden="false" customHeight="false" outlineLevel="0" collapsed="false">
      <c r="A590" s="6" t="s">
        <v>589</v>
      </c>
      <c r="B590" s="10" t="n">
        <v>5.6608</v>
      </c>
      <c r="C590" s="7" t="n">
        <f aca="false">(B590-B589)/B589*100</f>
        <v>0.249703366568084</v>
      </c>
    </row>
    <row r="591" customFormat="false" ht="15" hidden="false" customHeight="false" outlineLevel="0" collapsed="false">
      <c r="A591" s="6" t="s">
        <v>590</v>
      </c>
      <c r="B591" s="10" t="n">
        <v>5.6394</v>
      </c>
      <c r="C591" s="7" t="n">
        <f aca="false">(B591-B590)/B590*100</f>
        <v>-0.378038439796493</v>
      </c>
    </row>
    <row r="592" customFormat="false" ht="15" hidden="false" customHeight="false" outlineLevel="0" collapsed="false">
      <c r="A592" s="6" t="s">
        <v>591</v>
      </c>
      <c r="B592" s="10" t="n">
        <v>5.652</v>
      </c>
      <c r="C592" s="7" t="n">
        <f aca="false">(B592-B591)/B591*100</f>
        <v>0.223428024257899</v>
      </c>
    </row>
    <row r="593" customFormat="false" ht="15" hidden="false" customHeight="false" outlineLevel="0" collapsed="false">
      <c r="A593" s="6" t="s">
        <v>592</v>
      </c>
      <c r="B593" s="10" t="n">
        <v>5.721</v>
      </c>
      <c r="C593" s="7" t="n">
        <f aca="false">(B593-B592)/B592*100</f>
        <v>1.2208067940552</v>
      </c>
    </row>
    <row r="594" customFormat="false" ht="15" hidden="false" customHeight="false" outlineLevel="0" collapsed="false">
      <c r="A594" s="6" t="s">
        <v>593</v>
      </c>
      <c r="B594" s="10" t="n">
        <v>5.7375</v>
      </c>
      <c r="C594" s="7" t="n">
        <f aca="false">(B594-B593)/B593*100</f>
        <v>0.288411116937594</v>
      </c>
    </row>
    <row r="595" customFormat="false" ht="15" hidden="false" customHeight="false" outlineLevel="0" collapsed="false">
      <c r="A595" s="6" t="s">
        <v>594</v>
      </c>
      <c r="B595" s="10" t="n">
        <v>5.686</v>
      </c>
      <c r="C595" s="7" t="n">
        <f aca="false">(B595-B594)/B594*100</f>
        <v>-0.897603485838778</v>
      </c>
    </row>
    <row r="596" customFormat="false" ht="15" hidden="false" customHeight="false" outlineLevel="0" collapsed="false">
      <c r="A596" s="6" t="s">
        <v>595</v>
      </c>
      <c r="B596" s="10" t="n">
        <v>5.6511</v>
      </c>
      <c r="C596" s="7" t="n">
        <f aca="false">(B596-B595)/B595*100</f>
        <v>-0.613788251846647</v>
      </c>
    </row>
    <row r="597" customFormat="false" ht="15" hidden="false" customHeight="false" outlineLevel="0" collapsed="false">
      <c r="A597" s="6" t="s">
        <v>596</v>
      </c>
      <c r="B597" s="10" t="n">
        <v>5.6822</v>
      </c>
      <c r="C597" s="7" t="n">
        <f aca="false">(B597-B596)/B596*100</f>
        <v>0.550335332944035</v>
      </c>
    </row>
    <row r="598" customFormat="false" ht="15" hidden="false" customHeight="false" outlineLevel="0" collapsed="false">
      <c r="A598" s="6" t="s">
        <v>597</v>
      </c>
      <c r="B598" s="10" t="n">
        <v>5.6262</v>
      </c>
      <c r="C598" s="7" t="n">
        <f aca="false">(B598-B597)/B597*100</f>
        <v>-0.985533772130514</v>
      </c>
    </row>
    <row r="599" customFormat="false" ht="15" hidden="false" customHeight="false" outlineLevel="0" collapsed="false">
      <c r="A599" s="6" t="s">
        <v>598</v>
      </c>
      <c r="B599" s="10" t="n">
        <v>5.61</v>
      </c>
      <c r="C599" s="7" t="n">
        <f aca="false">(B599-B598)/B598*100</f>
        <v>-0.287938573104396</v>
      </c>
    </row>
    <row r="600" customFormat="false" ht="15" hidden="false" customHeight="false" outlineLevel="0" collapsed="false">
      <c r="A600" s="6" t="s">
        <v>599</v>
      </c>
      <c r="B600" s="10" t="n">
        <v>5.6328</v>
      </c>
      <c r="C600" s="7" t="n">
        <f aca="false">(B600-B599)/B599*100</f>
        <v>0.406417112299452</v>
      </c>
    </row>
    <row r="601" customFormat="false" ht="15" hidden="false" customHeight="false" outlineLevel="0" collapsed="false">
      <c r="A601" s="6" t="s">
        <v>600</v>
      </c>
      <c r="B601" s="10" t="n">
        <v>5.6925</v>
      </c>
      <c r="C601" s="7" t="n">
        <f aca="false">(B601-B600)/B600*100</f>
        <v>1.05986365573073</v>
      </c>
    </row>
    <row r="602" customFormat="false" ht="15" hidden="false" customHeight="false" outlineLevel="0" collapsed="false">
      <c r="A602" s="6" t="s">
        <v>601</v>
      </c>
      <c r="B602" s="10" t="n">
        <v>5.6591</v>
      </c>
      <c r="C602" s="7" t="n">
        <f aca="false">(B602-B601)/B601*100</f>
        <v>-0.586736934563027</v>
      </c>
    </row>
    <row r="603" customFormat="false" ht="15" hidden="false" customHeight="false" outlineLevel="0" collapsed="false">
      <c r="A603" s="6" t="s">
        <v>602</v>
      </c>
      <c r="B603" s="10" t="n">
        <v>5.662</v>
      </c>
      <c r="C603" s="7" t="n">
        <f aca="false">(B603-B602)/B602*100</f>
        <v>0.0512448975985642</v>
      </c>
    </row>
    <row r="604" customFormat="false" ht="15" hidden="false" customHeight="false" outlineLevel="0" collapsed="false">
      <c r="A604" s="6" t="s">
        <v>603</v>
      </c>
      <c r="B604" s="10" t="n">
        <v>5.6571</v>
      </c>
      <c r="C604" s="7" t="n">
        <f aca="false">(B604-B603)/B603*100</f>
        <v>-0.0865418580007087</v>
      </c>
    </row>
    <row r="605" customFormat="false" ht="15" hidden="false" customHeight="false" outlineLevel="0" collapsed="false">
      <c r="A605" s="6" t="s">
        <v>604</v>
      </c>
      <c r="B605" s="10" t="n">
        <v>5.639</v>
      </c>
      <c r="C605" s="7" t="n">
        <f aca="false">(B605-B604)/B604*100</f>
        <v>-0.31995191882766</v>
      </c>
    </row>
    <row r="606" customFormat="false" ht="15" hidden="false" customHeight="false" outlineLevel="0" collapsed="false">
      <c r="A606" s="6" t="s">
        <v>605</v>
      </c>
      <c r="B606" s="10" t="n">
        <v>5.6932</v>
      </c>
      <c r="C606" s="7" t="n">
        <f aca="false">(B606-B605)/B605*100</f>
        <v>0.961163326830995</v>
      </c>
    </row>
    <row r="607" customFormat="false" ht="15" hidden="false" customHeight="false" outlineLevel="0" collapsed="false">
      <c r="A607" s="6" t="s">
        <v>606</v>
      </c>
      <c r="B607" s="10" t="n">
        <v>5.6619</v>
      </c>
      <c r="C607" s="7" t="n">
        <f aca="false">(B607-B606)/B606*100</f>
        <v>-0.549778683341528</v>
      </c>
    </row>
    <row r="608" customFormat="false" ht="15" hidden="false" customHeight="false" outlineLevel="0" collapsed="false">
      <c r="A608" s="6" t="s">
        <v>607</v>
      </c>
      <c r="B608" s="10" t="n">
        <v>5.6539</v>
      </c>
      <c r="C608" s="7" t="n">
        <f aca="false">(B608-B607)/B607*100</f>
        <v>-0.141295324890938</v>
      </c>
    </row>
    <row r="609" customFormat="false" ht="15" hidden="false" customHeight="false" outlineLevel="0" collapsed="false">
      <c r="A609" s="6" t="s">
        <v>608</v>
      </c>
      <c r="B609" s="10" t="n">
        <v>5.6936</v>
      </c>
      <c r="C609" s="7" t="n">
        <f aca="false">(B609-B608)/B608*100</f>
        <v>0.702170183413217</v>
      </c>
    </row>
    <row r="610" customFormat="false" ht="15" hidden="false" customHeight="false" outlineLevel="0" collapsed="false">
      <c r="A610" s="6" t="s">
        <v>609</v>
      </c>
      <c r="B610" s="10" t="n">
        <v>5.6559</v>
      </c>
      <c r="C610" s="7" t="n">
        <f aca="false">(B610-B609)/B609*100</f>
        <v>-0.662146972038782</v>
      </c>
    </row>
    <row r="611" customFormat="false" ht="15" hidden="false" customHeight="false" outlineLevel="0" collapsed="false">
      <c r="A611" s="6" t="s">
        <v>610</v>
      </c>
      <c r="B611" s="10" t="n">
        <v>5.7087</v>
      </c>
      <c r="C611" s="7" t="n">
        <f aca="false">(B611-B610)/B610*100</f>
        <v>0.933538428897265</v>
      </c>
    </row>
    <row r="612" customFormat="false" ht="15" hidden="false" customHeight="false" outlineLevel="0" collapsed="false">
      <c r="A612" s="6" t="s">
        <v>611</v>
      </c>
      <c r="B612" s="10" t="n">
        <v>5.6937</v>
      </c>
      <c r="C612" s="7" t="n">
        <f aca="false">(B612-B611)/B611*100</f>
        <v>-0.262756844815817</v>
      </c>
    </row>
    <row r="613" customFormat="false" ht="15" hidden="false" customHeight="false" outlineLevel="0" collapsed="false">
      <c r="A613" s="6" t="s">
        <v>612</v>
      </c>
      <c r="B613" s="10" t="n">
        <v>5.6694</v>
      </c>
      <c r="C613" s="7" t="n">
        <f aca="false">(B613-B612)/B612*100</f>
        <v>-0.426787501975856</v>
      </c>
    </row>
    <row r="614" customFormat="false" ht="15" hidden="false" customHeight="false" outlineLevel="0" collapsed="false">
      <c r="A614" s="6" t="s">
        <v>613</v>
      </c>
      <c r="B614" s="10" t="n">
        <v>5.6332</v>
      </c>
      <c r="C614" s="7" t="n">
        <f aca="false">(B614-B613)/B613*100</f>
        <v>-0.63851553956327</v>
      </c>
    </row>
    <row r="615" customFormat="false" ht="15" hidden="false" customHeight="false" outlineLevel="0" collapsed="false">
      <c r="A615" s="6" t="s">
        <v>614</v>
      </c>
      <c r="B615" s="10" t="n">
        <v>5.5969</v>
      </c>
      <c r="C615" s="7" t="n">
        <f aca="false">(B615-B614)/B614*100</f>
        <v>-0.644393950152678</v>
      </c>
    </row>
    <row r="616" customFormat="false" ht="15" hidden="false" customHeight="false" outlineLevel="0" collapsed="false">
      <c r="A616" s="6" t="s">
        <v>615</v>
      </c>
      <c r="B616" s="10" t="n">
        <v>5.5947</v>
      </c>
      <c r="C616" s="7" t="n">
        <f aca="false">(B616-B615)/B615*100</f>
        <v>-0.0393074737801319</v>
      </c>
    </row>
    <row r="617" customFormat="false" ht="15" hidden="false" customHeight="false" outlineLevel="0" collapsed="false">
      <c r="A617" s="6" t="s">
        <v>616</v>
      </c>
      <c r="B617" s="10" t="n">
        <v>5.576</v>
      </c>
      <c r="C617" s="7" t="n">
        <f aca="false">(B617-B616)/B616*100</f>
        <v>-0.334244910361591</v>
      </c>
    </row>
    <row r="618" customFormat="false" ht="15" hidden="false" customHeight="false" outlineLevel="0" collapsed="false">
      <c r="A618" s="6" t="s">
        <v>617</v>
      </c>
      <c r="B618" s="10" t="n">
        <v>5.5557</v>
      </c>
      <c r="C618" s="7" t="n">
        <f aca="false">(B618-B617)/B617*100</f>
        <v>-0.364060258249637</v>
      </c>
    </row>
    <row r="619" customFormat="false" ht="15" hidden="false" customHeight="false" outlineLevel="0" collapsed="false">
      <c r="A619" s="6" t="s">
        <v>618</v>
      </c>
      <c r="B619" s="10" t="n">
        <v>5.539</v>
      </c>
      <c r="C619" s="7" t="n">
        <f aca="false">(B619-B618)/B618*100</f>
        <v>-0.300592184603203</v>
      </c>
    </row>
    <row r="620" customFormat="false" ht="15" hidden="false" customHeight="false" outlineLevel="0" collapsed="false">
      <c r="A620" s="6" t="s">
        <v>619</v>
      </c>
      <c r="B620" s="10" t="n">
        <v>5.5388</v>
      </c>
      <c r="C620" s="7" t="n">
        <f aca="false">(B620-B619)/B619*100</f>
        <v>-0.00361076006498527</v>
      </c>
    </row>
    <row r="621" customFormat="false" ht="15" hidden="false" customHeight="false" outlineLevel="0" collapsed="false">
      <c r="A621" s="6" t="s">
        <v>620</v>
      </c>
      <c r="B621" s="10" t="n">
        <v>5.5652</v>
      </c>
      <c r="C621" s="7" t="n">
        <f aca="false">(B621-B620)/B620*100</f>
        <v>0.476637538817068</v>
      </c>
    </row>
    <row r="622" customFormat="false" ht="15" hidden="false" customHeight="false" outlineLevel="0" collapsed="false">
      <c r="A622" s="6" t="s">
        <v>621</v>
      </c>
      <c r="B622" s="10" t="n">
        <v>5.5123</v>
      </c>
      <c r="C622" s="7" t="n">
        <f aca="false">(B622-B621)/B621*100</f>
        <v>-0.95054984546827</v>
      </c>
    </row>
    <row r="623" customFormat="false" ht="15" hidden="false" customHeight="false" outlineLevel="0" collapsed="false">
      <c r="A623" s="6" t="s">
        <v>622</v>
      </c>
      <c r="B623" s="10" t="n">
        <v>5.4773</v>
      </c>
      <c r="C623" s="7" t="n">
        <f aca="false">(B623-B622)/B622*100</f>
        <v>-0.634943671425723</v>
      </c>
    </row>
    <row r="624" customFormat="false" ht="15" hidden="false" customHeight="false" outlineLevel="0" collapsed="false">
      <c r="A624" s="6" t="s">
        <v>623</v>
      </c>
      <c r="B624" s="10" t="n">
        <v>5.4879</v>
      </c>
      <c r="C624" s="7" t="n">
        <f aca="false">(B624-B623)/B623*100</f>
        <v>0.193526007339386</v>
      </c>
    </row>
    <row r="625" customFormat="false" ht="15" hidden="false" customHeight="false" outlineLevel="0" collapsed="false">
      <c r="A625" s="6" t="s">
        <v>624</v>
      </c>
      <c r="B625" s="10" t="n">
        <v>5.4957</v>
      </c>
      <c r="C625" s="7" t="n">
        <f aca="false">(B625-B624)/B624*100</f>
        <v>0.1421308697316</v>
      </c>
    </row>
    <row r="626" customFormat="false" ht="15" hidden="false" customHeight="false" outlineLevel="0" collapsed="false">
      <c r="A626" s="6" t="s">
        <v>625</v>
      </c>
      <c r="B626" s="10" t="n">
        <v>5.5213</v>
      </c>
      <c r="C626" s="7" t="n">
        <f aca="false">(B626-B625)/B625*100</f>
        <v>0.465818731007876</v>
      </c>
    </row>
    <row r="627" customFormat="false" ht="15" hidden="false" customHeight="false" outlineLevel="0" collapsed="false">
      <c r="A627" s="6" t="s">
        <v>626</v>
      </c>
      <c r="B627" s="10" t="n">
        <v>5.4938</v>
      </c>
      <c r="C627" s="7" t="n">
        <f aca="false">(B627-B626)/B626*100</f>
        <v>-0.498071106442321</v>
      </c>
    </row>
    <row r="628" customFormat="false" ht="15" hidden="false" customHeight="false" outlineLevel="0" collapsed="false">
      <c r="A628" s="6" t="s">
        <v>627</v>
      </c>
      <c r="B628" s="10" t="n">
        <v>5.5427</v>
      </c>
      <c r="C628" s="7" t="n">
        <f aca="false">(B628-B627)/B627*100</f>
        <v>0.890094288106588</v>
      </c>
    </row>
    <row r="629" customFormat="false" ht="15" hidden="false" customHeight="false" outlineLevel="0" collapsed="false">
      <c r="A629" s="6" t="s">
        <v>628</v>
      </c>
      <c r="B629" s="10" t="n">
        <v>5.5145</v>
      </c>
      <c r="C629" s="7" t="n">
        <f aca="false">(B629-B628)/B628*100</f>
        <v>-0.508777310696953</v>
      </c>
    </row>
    <row r="630" customFormat="false" ht="15" hidden="false" customHeight="false" outlineLevel="0" collapsed="false">
      <c r="A630" s="6" t="s">
        <v>629</v>
      </c>
      <c r="B630" s="10" t="n">
        <v>5.4759</v>
      </c>
      <c r="C630" s="7" t="n">
        <f aca="false">(B630-B629)/B629*100</f>
        <v>-0.699972798984491</v>
      </c>
    </row>
    <row r="631" customFormat="false" ht="15" hidden="false" customHeight="false" outlineLevel="0" collapsed="false">
      <c r="A631" s="6" t="s">
        <v>630</v>
      </c>
      <c r="B631" s="10" t="n">
        <v>5.4571</v>
      </c>
      <c r="C631" s="7" t="n">
        <f aca="false">(B631-B630)/B630*100</f>
        <v>-0.343322558848785</v>
      </c>
    </row>
    <row r="632" customFormat="false" ht="15" hidden="false" customHeight="false" outlineLevel="0" collapsed="false">
      <c r="A632" s="6" t="s">
        <v>631</v>
      </c>
      <c r="B632" s="10" t="n">
        <v>5.4511</v>
      </c>
      <c r="C632" s="7" t="n">
        <f aca="false">(B632-B631)/B631*100</f>
        <v>-0.109948507448999</v>
      </c>
    </row>
    <row r="633" customFormat="false" ht="15" hidden="false" customHeight="false" outlineLevel="0" collapsed="false">
      <c r="A633" s="6" t="s">
        <v>632</v>
      </c>
      <c r="B633" s="10" t="n">
        <v>5.4512</v>
      </c>
      <c r="C633" s="7" t="n">
        <f aca="false">(B633-B632)/B632*100</f>
        <v>0.00183449212085207</v>
      </c>
    </row>
    <row r="634" customFormat="false" ht="15" hidden="false" customHeight="false" outlineLevel="0" collapsed="false">
      <c r="A634" s="6" t="s">
        <v>633</v>
      </c>
      <c r="B634" s="10" t="n">
        <v>5.4208</v>
      </c>
      <c r="C634" s="7" t="n">
        <f aca="false">(B634-B633)/B633*100</f>
        <v>-0.557675374229531</v>
      </c>
    </row>
    <row r="635" customFormat="false" ht="15" hidden="false" customHeight="false" outlineLevel="0" collapsed="false">
      <c r="A635" s="6" t="s">
        <v>634</v>
      </c>
      <c r="B635" s="10" t="n">
        <v>5.409</v>
      </c>
      <c r="C635" s="7" t="n">
        <f aca="false">(B635-B634)/B634*100</f>
        <v>-0.217680047225502</v>
      </c>
    </row>
    <row r="636" customFormat="false" ht="15" hidden="false" customHeight="false" outlineLevel="0" collapsed="false">
      <c r="A636" s="6" t="s">
        <v>635</v>
      </c>
      <c r="B636" s="10" t="n">
        <v>5.4552</v>
      </c>
      <c r="C636" s="7" t="n">
        <f aca="false">(B636-B635)/B635*100</f>
        <v>0.854132002218521</v>
      </c>
    </row>
    <row r="637" customFormat="false" ht="15" hidden="false" customHeight="false" outlineLevel="0" collapsed="false">
      <c r="A637" s="6" t="s">
        <v>636</v>
      </c>
      <c r="B637" s="10" t="n">
        <v>5.4571</v>
      </c>
      <c r="C637" s="7" t="n">
        <f aca="false">(B637-B636)/B636*100</f>
        <v>0.0348291538348734</v>
      </c>
    </row>
    <row r="638" customFormat="false" ht="15" hidden="false" customHeight="false" outlineLevel="0" collapsed="false">
      <c r="A638" s="6" t="s">
        <v>637</v>
      </c>
      <c r="B638" s="10" t="n">
        <v>5.4626</v>
      </c>
      <c r="C638" s="7" t="n">
        <f aca="false">(B638-B637)/B637*100</f>
        <v>0.10078613182827</v>
      </c>
    </row>
    <row r="639" customFormat="false" ht="15" hidden="false" customHeight="false" outlineLevel="0" collapsed="false">
      <c r="A639" s="6" t="s">
        <v>638</v>
      </c>
      <c r="B639" s="10" t="n">
        <v>5.5433</v>
      </c>
      <c r="C639" s="7" t="n">
        <f aca="false">(B639-B638)/B638*100</f>
        <v>1.4773184930253</v>
      </c>
    </row>
    <row r="640" customFormat="false" ht="15" hidden="false" customHeight="false" outlineLevel="0" collapsed="false">
      <c r="A640" s="6" t="s">
        <v>639</v>
      </c>
      <c r="B640" s="10" t="n">
        <v>5.5722</v>
      </c>
      <c r="C640" s="7" t="n">
        <f aca="false">(B640-B639)/B639*100</f>
        <v>0.521350098316874</v>
      </c>
    </row>
    <row r="641" customFormat="false" ht="15" hidden="false" customHeight="false" outlineLevel="0" collapsed="false">
      <c r="A641" s="6" t="s">
        <v>640</v>
      </c>
      <c r="B641" s="10" t="n">
        <v>5.5595</v>
      </c>
      <c r="C641" s="7" t="n">
        <f aca="false">(B641-B640)/B640*100</f>
        <v>-0.227917160188071</v>
      </c>
    </row>
    <row r="642" customFormat="false" ht="15" hidden="false" customHeight="false" outlineLevel="0" collapsed="false">
      <c r="A642" s="6" t="s">
        <v>641</v>
      </c>
      <c r="B642" s="10" t="n">
        <v>5.5576</v>
      </c>
      <c r="C642" s="7" t="n">
        <f aca="false">(B642-B641)/B641*100</f>
        <v>-0.0341757352279884</v>
      </c>
    </row>
    <row r="643" customFormat="false" ht="15" hidden="false" customHeight="false" outlineLevel="0" collapsed="false">
      <c r="A643" s="6" t="s">
        <v>642</v>
      </c>
      <c r="B643" s="10" t="n">
        <v>5.5722</v>
      </c>
      <c r="C643" s="7" t="n">
        <f aca="false">(B643-B642)/B642*100</f>
        <v>0.26270332517633</v>
      </c>
    </row>
    <row r="644" customFormat="false" ht="15" hidden="false" customHeight="false" outlineLevel="0" collapsed="false">
      <c r="A644" s="6" t="s">
        <v>643</v>
      </c>
      <c r="B644" s="10" t="n">
        <v>5.5737</v>
      </c>
      <c r="C644" s="7" t="n">
        <f aca="false">(B644-B643)/B643*100</f>
        <v>0.026919349628514</v>
      </c>
    </row>
    <row r="645" customFormat="false" ht="15" hidden="false" customHeight="false" outlineLevel="0" collapsed="false">
      <c r="A645" s="6" t="s">
        <v>644</v>
      </c>
      <c r="B645" s="10" t="n">
        <v>5.5466</v>
      </c>
      <c r="C645" s="7" t="n">
        <f aca="false">(B645-B644)/B644*100</f>
        <v>-0.486212031505103</v>
      </c>
    </row>
    <row r="646" customFormat="false" ht="15" hidden="false" customHeight="false" outlineLevel="0" collapsed="false">
      <c r="A646" s="6" t="s">
        <v>645</v>
      </c>
      <c r="B646" s="10" t="n">
        <v>5.5625</v>
      </c>
      <c r="C646" s="7" t="n">
        <f aca="false">(B646-B645)/B645*100</f>
        <v>0.286662099304083</v>
      </c>
    </row>
    <row r="647" customFormat="false" ht="15" hidden="false" customHeight="false" outlineLevel="0" collapsed="false">
      <c r="A647" s="6" t="s">
        <v>646</v>
      </c>
      <c r="B647" s="10" t="n">
        <v>5.5709</v>
      </c>
      <c r="C647" s="7" t="n">
        <f aca="false">(B647-B646)/B646*100</f>
        <v>0.151011235955056</v>
      </c>
    </row>
    <row r="648" customFormat="false" ht="15" hidden="false" customHeight="false" outlineLevel="0" collapsed="false">
      <c r="A648" s="6" t="s">
        <v>647</v>
      </c>
      <c r="B648" s="10" t="n">
        <v>5.5537</v>
      </c>
      <c r="C648" s="7" t="n">
        <f aca="false">(B648-B647)/B647*100</f>
        <v>-0.308747240122779</v>
      </c>
    </row>
    <row r="649" customFormat="false" ht="15" hidden="false" customHeight="false" outlineLevel="0" collapsed="false">
      <c r="A649" s="6" t="s">
        <v>648</v>
      </c>
      <c r="B649" s="10" t="n">
        <v>5.5239</v>
      </c>
      <c r="C649" s="7" t="n">
        <f aca="false">(B649-B648)/B648*100</f>
        <v>-0.536579217458628</v>
      </c>
    </row>
    <row r="650" customFormat="false" ht="15" hidden="false" customHeight="false" outlineLevel="0" collapsed="false">
      <c r="A650" s="6" t="s">
        <v>649</v>
      </c>
      <c r="B650" s="10" t="n">
        <v>5.5426</v>
      </c>
      <c r="C650" s="7" t="n">
        <f aca="false">(B650-B649)/B649*100</f>
        <v>0.338528937888085</v>
      </c>
    </row>
    <row r="651" customFormat="false" ht="15" hidden="false" customHeight="false" outlineLevel="0" collapsed="false">
      <c r="A651" s="6" t="s">
        <v>650</v>
      </c>
      <c r="B651" s="10" t="n">
        <v>5.5877</v>
      </c>
      <c r="C651" s="7" t="n">
        <f aca="false">(B651-B650)/B650*100</f>
        <v>0.8136975426695</v>
      </c>
    </row>
    <row r="652" customFormat="false" ht="15" hidden="false" customHeight="false" outlineLevel="0" collapsed="false">
      <c r="A652" s="6" t="s">
        <v>651</v>
      </c>
      <c r="B652" s="10" t="n">
        <v>5.5764</v>
      </c>
      <c r="C652" s="7" t="n">
        <f aca="false">(B652-B651)/B651*100</f>
        <v>-0.20222989781127</v>
      </c>
    </row>
    <row r="653" customFormat="false" ht="15" hidden="false" customHeight="false" outlineLevel="0" collapsed="false">
      <c r="A653" s="6" t="s">
        <v>652</v>
      </c>
      <c r="B653" s="10" t="n">
        <v>5.6034</v>
      </c>
      <c r="C653" s="7" t="n">
        <f aca="false">(B653-B652)/B652*100</f>
        <v>0.484183344092966</v>
      </c>
    </row>
    <row r="654" customFormat="false" ht="15" hidden="false" customHeight="false" outlineLevel="0" collapsed="false">
      <c r="A654" s="6" t="s">
        <v>653</v>
      </c>
      <c r="B654" s="10" t="n">
        <v>5.6021</v>
      </c>
      <c r="C654" s="7" t="n">
        <f aca="false">(B654-B653)/B653*100</f>
        <v>-0.0232001998786386</v>
      </c>
    </row>
    <row r="655" customFormat="false" ht="15" hidden="false" customHeight="false" outlineLevel="0" collapsed="false">
      <c r="A655" s="6" t="s">
        <v>654</v>
      </c>
      <c r="B655" s="10" t="n">
        <v>5.5436</v>
      </c>
      <c r="C655" s="7" t="n">
        <f aca="false">(B655-B654)/B654*100</f>
        <v>-1.04425126291927</v>
      </c>
    </row>
    <row r="656" customFormat="false" ht="15" hidden="false" customHeight="false" outlineLevel="0" collapsed="false">
      <c r="A656" s="6" t="s">
        <v>655</v>
      </c>
      <c r="B656" s="10" t="n">
        <v>5.5113</v>
      </c>
      <c r="C656" s="7" t="n">
        <f aca="false">(B656-B655)/B655*100</f>
        <v>-0.582653871130661</v>
      </c>
    </row>
    <row r="657" customFormat="false" ht="15" hidden="false" customHeight="false" outlineLevel="0" collapsed="false">
      <c r="A657" s="6" t="s">
        <v>656</v>
      </c>
      <c r="B657" s="10" t="n">
        <v>5.5119</v>
      </c>
      <c r="C657" s="7" t="n">
        <f aca="false">(B657-B656)/B656*100</f>
        <v>0.0108867236405111</v>
      </c>
    </row>
    <row r="658" customFormat="false" ht="15" hidden="false" customHeight="false" outlineLevel="0" collapsed="false">
      <c r="A658" s="6" t="s">
        <v>657</v>
      </c>
      <c r="B658" s="10" t="n">
        <v>5.4802</v>
      </c>
      <c r="C658" s="7" t="n">
        <f aca="false">(B658-B657)/B657*100</f>
        <v>-0.575119287360073</v>
      </c>
    </row>
    <row r="659" customFormat="false" ht="15" hidden="false" customHeight="false" outlineLevel="0" collapsed="false">
      <c r="A659" s="6" t="s">
        <v>658</v>
      </c>
      <c r="B659" s="10" t="n">
        <v>5.4638</v>
      </c>
      <c r="C659" s="7" t="n">
        <f aca="false">(B659-B658)/B658*100</f>
        <v>-0.299259151125871</v>
      </c>
    </row>
    <row r="660" customFormat="false" ht="15" hidden="false" customHeight="false" outlineLevel="0" collapsed="false">
      <c r="A660" s="6" t="s">
        <v>659</v>
      </c>
      <c r="B660" s="10" t="n">
        <v>5.4254</v>
      </c>
      <c r="C660" s="7" t="n">
        <f aca="false">(B660-B659)/B659*100</f>
        <v>-0.702807569823204</v>
      </c>
    </row>
    <row r="661" customFormat="false" ht="15" hidden="false" customHeight="false" outlineLevel="0" collapsed="false">
      <c r="A661" s="6" t="s">
        <v>660</v>
      </c>
      <c r="B661" s="10" t="n">
        <v>5.4473</v>
      </c>
      <c r="C661" s="7" t="n">
        <f aca="false">(B661-B660)/B660*100</f>
        <v>0.403656873225946</v>
      </c>
    </row>
    <row r="662" customFormat="false" ht="15" hidden="false" customHeight="false" outlineLevel="0" collapsed="false">
      <c r="A662" s="6" t="s">
        <v>661</v>
      </c>
      <c r="B662" s="10" t="n">
        <v>5.4052</v>
      </c>
      <c r="C662" s="7" t="n">
        <f aca="false">(B662-B661)/B661*100</f>
        <v>-0.772859948965551</v>
      </c>
    </row>
    <row r="663" customFormat="false" ht="15" hidden="false" customHeight="false" outlineLevel="0" collapsed="false">
      <c r="A663" s="6" t="s">
        <v>662</v>
      </c>
      <c r="B663" s="10" t="n">
        <v>5.3928</v>
      </c>
      <c r="C663" s="7" t="n">
        <f aca="false">(B663-B662)/B662*100</f>
        <v>-0.229408717531257</v>
      </c>
    </row>
    <row r="664" customFormat="false" ht="15" hidden="false" customHeight="false" outlineLevel="0" collapsed="false">
      <c r="A664" s="6" t="s">
        <v>663</v>
      </c>
      <c r="B664" s="10" t="n">
        <v>5.4095</v>
      </c>
      <c r="C664" s="7" t="n">
        <f aca="false">(B664-B663)/B663*100</f>
        <v>0.309672155466551</v>
      </c>
    </row>
    <row r="665" customFormat="false" ht="15" hidden="false" customHeight="false" outlineLevel="0" collapsed="false">
      <c r="A665" s="6" t="s">
        <v>664</v>
      </c>
      <c r="B665" s="10" t="n">
        <v>5.3928</v>
      </c>
      <c r="C665" s="7" t="n">
        <f aca="false">(B665-B664)/B664*100</f>
        <v>-0.308716147518258</v>
      </c>
    </row>
    <row r="666" customFormat="false" ht="15" hidden="false" customHeight="false" outlineLevel="0" collapsed="false">
      <c r="A666" s="6" t="s">
        <v>665</v>
      </c>
      <c r="B666" s="10" t="n">
        <v>5.4155</v>
      </c>
      <c r="C666" s="7" t="n">
        <f aca="false">(B666-B665)/B665*100</f>
        <v>0.420931612520388</v>
      </c>
    </row>
    <row r="667" customFormat="false" ht="15" hidden="false" customHeight="false" outlineLevel="0" collapsed="false">
      <c r="A667" s="6" t="s">
        <v>666</v>
      </c>
      <c r="B667" s="10" t="n">
        <v>5.4716</v>
      </c>
      <c r="C667" s="7" t="n">
        <f aca="false">(B667-B666)/B666*100</f>
        <v>1.03591542793832</v>
      </c>
    </row>
    <row r="668" customFormat="false" ht="15" hidden="false" customHeight="false" outlineLevel="0" collapsed="false">
      <c r="A668" s="6" t="s">
        <v>667</v>
      </c>
      <c r="B668" s="10" t="n">
        <v>5.4726</v>
      </c>
      <c r="C668" s="7" t="n">
        <f aca="false">(B668-B667)/B667*100</f>
        <v>0.0182761897799608</v>
      </c>
    </row>
    <row r="669" customFormat="false" ht="15" hidden="false" customHeight="false" outlineLevel="0" collapsed="false">
      <c r="A669" s="6" t="s">
        <v>668</v>
      </c>
      <c r="B669" s="10" t="n">
        <v>5.4828</v>
      </c>
      <c r="C669" s="7" t="n">
        <f aca="false">(B669-B668)/B668*100</f>
        <v>0.186383072031579</v>
      </c>
    </row>
    <row r="670" customFormat="false" ht="15" hidden="false" customHeight="false" outlineLevel="0" collapsed="false">
      <c r="A670" s="6" t="s">
        <v>669</v>
      </c>
      <c r="B670" s="10" t="n">
        <v>5.4392</v>
      </c>
      <c r="C670" s="7" t="n">
        <f aca="false">(B670-B669)/B669*100</f>
        <v>-0.795214124170142</v>
      </c>
    </row>
    <row r="671" customFormat="false" ht="15" hidden="false" customHeight="false" outlineLevel="0" collapsed="false">
      <c r="A671" s="6" t="s">
        <v>670</v>
      </c>
      <c r="B671" s="10" t="n">
        <v>5.4174</v>
      </c>
      <c r="C671" s="7" t="n">
        <f aca="false">(B671-B670)/B670*100</f>
        <v>-0.400794234446239</v>
      </c>
    </row>
    <row r="672" customFormat="false" ht="15" hidden="false" customHeight="false" outlineLevel="0" collapsed="false">
      <c r="A672" s="6" t="s">
        <v>671</v>
      </c>
      <c r="B672" s="10" t="n">
        <v>5.4218</v>
      </c>
      <c r="C672" s="7" t="n">
        <f aca="false">(B672-B671)/B671*100</f>
        <v>0.0812197733230037</v>
      </c>
    </row>
    <row r="673" customFormat="false" ht="15" hidden="false" customHeight="false" outlineLevel="0" collapsed="false">
      <c r="A673" s="6" t="s">
        <v>672</v>
      </c>
      <c r="B673" s="10" t="n">
        <v>5.4428</v>
      </c>
      <c r="C673" s="7" t="n">
        <f aca="false">(B673-B672)/B672*100</f>
        <v>0.387325242539376</v>
      </c>
    </row>
    <row r="674" customFormat="false" ht="15" hidden="false" customHeight="false" outlineLevel="0" collapsed="false">
      <c r="A674" s="6" t="s">
        <v>673</v>
      </c>
      <c r="B674" s="10" t="n">
        <v>5.4115</v>
      </c>
      <c r="C674" s="7" t="n">
        <f aca="false">(B674-B673)/B673*100</f>
        <v>-0.575071654295581</v>
      </c>
    </row>
    <row r="675" customFormat="false" ht="15" hidden="false" customHeight="false" outlineLevel="0" collapsed="false">
      <c r="A675" s="6" t="s">
        <v>674</v>
      </c>
      <c r="B675" s="10" t="n">
        <v>5.4264</v>
      </c>
      <c r="C675" s="7" t="n">
        <f aca="false">(B675-B674)/B674*100</f>
        <v>0.275339554652128</v>
      </c>
    </row>
    <row r="676" customFormat="false" ht="15" hidden="false" customHeight="false" outlineLevel="0" collapsed="false">
      <c r="A676" s="6" t="s">
        <v>675</v>
      </c>
      <c r="B676" s="10" t="n">
        <v>5.4378</v>
      </c>
      <c r="C676" s="7" t="n">
        <f aca="false">(B676-B675)/B675*100</f>
        <v>0.210084033613447</v>
      </c>
    </row>
    <row r="677" customFormat="false" ht="15" hidden="false" customHeight="false" outlineLevel="0" collapsed="false">
      <c r="A677" s="6" t="s">
        <v>676</v>
      </c>
      <c r="B677" s="10" t="n">
        <v>5.468</v>
      </c>
      <c r="C677" s="7" t="n">
        <f aca="false">(B677-B676)/B676*100</f>
        <v>0.555371657655666</v>
      </c>
    </row>
    <row r="678" customFormat="false" ht="15" hidden="false" customHeight="false" outlineLevel="0" collapsed="false">
      <c r="A678" s="6" t="s">
        <v>677</v>
      </c>
      <c r="B678" s="10" t="n">
        <v>5.4485</v>
      </c>
      <c r="C678" s="7" t="n">
        <f aca="false">(B678-B677)/B677*100</f>
        <v>-0.356620336503289</v>
      </c>
    </row>
    <row r="679" customFormat="false" ht="15" hidden="false" customHeight="false" outlineLevel="0" collapsed="false">
      <c r="A679" s="6" t="s">
        <v>678</v>
      </c>
      <c r="B679" s="10" t="n">
        <v>5.4587</v>
      </c>
      <c r="C679" s="7" t="n">
        <f aca="false">(B679-B678)/B678*100</f>
        <v>0.187207488299536</v>
      </c>
    </row>
    <row r="680" customFormat="false" ht="15" hidden="false" customHeight="false" outlineLevel="0" collapsed="false">
      <c r="A680" s="6" t="s">
        <v>679</v>
      </c>
      <c r="B680" s="10" t="n">
        <v>5.3968</v>
      </c>
      <c r="C680" s="7" t="n">
        <f aca="false">(B680-B679)/B679*100</f>
        <v>-1.13396962646785</v>
      </c>
    </row>
    <row r="681" customFormat="false" ht="15" hidden="false" customHeight="false" outlineLevel="0" collapsed="false">
      <c r="A681" s="6" t="s">
        <v>680</v>
      </c>
      <c r="B681" s="10" t="n">
        <v>5.4278</v>
      </c>
      <c r="C681" s="7" t="n">
        <f aca="false">(B681-B680)/B680*100</f>
        <v>0.574414467832801</v>
      </c>
    </row>
    <row r="682" customFormat="false" ht="15" hidden="false" customHeight="false" outlineLevel="0" collapsed="false">
      <c r="A682" s="6" t="s">
        <v>681</v>
      </c>
      <c r="B682" s="10" t="n">
        <v>5.4278</v>
      </c>
      <c r="C682" s="7" t="n">
        <f aca="false">(B682-B681)/B681*100</f>
        <v>0</v>
      </c>
    </row>
    <row r="683" customFormat="false" ht="15" hidden="false" customHeight="false" outlineLevel="0" collapsed="false">
      <c r="A683" s="6" t="s">
        <v>682</v>
      </c>
      <c r="B683" s="10" t="n">
        <v>5.4123</v>
      </c>
      <c r="C683" s="7" t="n">
        <f aca="false">(B683-B682)/B682*100</f>
        <v>-0.285566896348434</v>
      </c>
    </row>
    <row r="684" customFormat="false" ht="15" hidden="false" customHeight="false" outlineLevel="0" collapsed="false">
      <c r="A684" s="6" t="s">
        <v>683</v>
      </c>
      <c r="B684" s="10" t="n">
        <v>5.3858</v>
      </c>
      <c r="C684" s="7" t="n">
        <f aca="false">(B684-B683)/B683*100</f>
        <v>-0.489625482696828</v>
      </c>
    </row>
    <row r="685" customFormat="false" ht="15" hidden="false" customHeight="false" outlineLevel="0" collapsed="false">
      <c r="A685" s="6" t="s">
        <v>684</v>
      </c>
      <c r="B685" s="10" t="n">
        <v>5.3677</v>
      </c>
      <c r="C685" s="7" t="n">
        <f aca="false">(B685-B684)/B684*100</f>
        <v>-0.336068921980013</v>
      </c>
    </row>
    <row r="686" customFormat="false" ht="15" hidden="false" customHeight="false" outlineLevel="0" collapsed="false">
      <c r="A686" s="6" t="s">
        <v>685</v>
      </c>
      <c r="B686" s="10" t="n">
        <v>5.3208</v>
      </c>
      <c r="C686" s="7" t="n">
        <f aca="false">(B686-B685)/B685*100</f>
        <v>-0.873744806900534</v>
      </c>
    </row>
    <row r="687" customFormat="false" ht="15" hidden="false" customHeight="false" outlineLevel="0" collapsed="false">
      <c r="A687" s="6" t="s">
        <v>686</v>
      </c>
      <c r="B687" s="10" t="n">
        <v>5.3096</v>
      </c>
      <c r="C687" s="7" t="n">
        <f aca="false">(B687-B686)/B686*100</f>
        <v>-0.210494662456784</v>
      </c>
    </row>
    <row r="688" customFormat="false" ht="15" hidden="false" customHeight="false" outlineLevel="0" collapsed="false">
      <c r="A688" s="6" t="s">
        <v>687</v>
      </c>
      <c r="B688" s="10" t="n">
        <v>5.3011</v>
      </c>
      <c r="C688" s="7" t="n">
        <f aca="false">(B688-B687)/B687*100</f>
        <v>-0.160087388880513</v>
      </c>
    </row>
    <row r="689" customFormat="false" ht="15" hidden="false" customHeight="false" outlineLevel="0" collapsed="false">
      <c r="A689" s="6" t="s">
        <v>688</v>
      </c>
      <c r="B689" s="10" t="n">
        <v>5.301</v>
      </c>
      <c r="C689" s="7" t="n">
        <f aca="false">(B689-B688)/B688*100</f>
        <v>-0.00188640093565047</v>
      </c>
    </row>
    <row r="690" customFormat="false" ht="15" hidden="false" customHeight="false" outlineLevel="0" collapsed="false">
      <c r="A690" s="6" t="s">
        <v>689</v>
      </c>
      <c r="B690" s="10" t="n">
        <v>5.3276</v>
      </c>
      <c r="C690" s="7" t="n">
        <f aca="false">(B690-B689)/B689*100</f>
        <v>0.501792114695344</v>
      </c>
    </row>
    <row r="691" customFormat="false" ht="15" hidden="false" customHeight="false" outlineLevel="0" collapsed="false">
      <c r="A691" s="6" t="s">
        <v>690</v>
      </c>
      <c r="B691" s="10" t="n">
        <v>5.3457</v>
      </c>
      <c r="C691" s="7" t="n">
        <f aca="false">(B691-B690)/B690*100</f>
        <v>0.339740220737284</v>
      </c>
    </row>
    <row r="692" customFormat="false" ht="15" hidden="false" customHeight="false" outlineLevel="0" collapsed="false">
      <c r="A692" s="6" t="s">
        <v>691</v>
      </c>
      <c r="B692" s="10" t="n">
        <v>5.3063</v>
      </c>
      <c r="C692" s="7" t="n">
        <f aca="false">(B692-B691)/B691*100</f>
        <v>-0.737040986213212</v>
      </c>
    </row>
    <row r="693" customFormat="false" ht="15" hidden="false" customHeight="false" outlineLevel="0" collapsed="false">
      <c r="A693" s="6" t="s">
        <v>692</v>
      </c>
      <c r="B693" s="10" t="n">
        <v>5.3112</v>
      </c>
      <c r="C693" s="7" t="n">
        <f aca="false">(B693-B692)/B692*100</f>
        <v>0.0923430639051717</v>
      </c>
    </row>
    <row r="694" customFormat="false" ht="15" hidden="false" customHeight="false" outlineLevel="0" collapsed="false">
      <c r="A694" s="6" t="s">
        <v>693</v>
      </c>
      <c r="B694" s="10" t="n">
        <v>5.3425</v>
      </c>
      <c r="C694" s="7" t="n">
        <f aca="false">(B694-B693)/B693*100</f>
        <v>0.589320680825423</v>
      </c>
    </row>
    <row r="695" customFormat="false" ht="15" hidden="false" customHeight="false" outlineLevel="0" collapsed="false">
      <c r="A695" s="6" t="s">
        <v>694</v>
      </c>
      <c r="B695" s="10" t="n">
        <v>5.3445</v>
      </c>
      <c r="C695" s="7" t="n">
        <f aca="false">(B695-B694)/B694*100</f>
        <v>0.0374356574637301</v>
      </c>
    </row>
    <row r="696" customFormat="false" ht="15" hidden="false" customHeight="false" outlineLevel="0" collapsed="false">
      <c r="A696" s="6" t="s">
        <v>695</v>
      </c>
      <c r="B696" s="10" t="n">
        <v>5.3229</v>
      </c>
      <c r="C696" s="7" t="n">
        <f aca="false">(B696-B695)/B695*100</f>
        <v>-0.404153802975026</v>
      </c>
    </row>
    <row r="697" customFormat="false" ht="15" hidden="false" customHeight="false" outlineLevel="0" collapsed="false">
      <c r="A697" s="6" t="s">
        <v>696</v>
      </c>
      <c r="B697" s="10" t="n">
        <v>5.3186</v>
      </c>
      <c r="C697" s="7" t="n">
        <f aca="false">(B697-B696)/B696*100</f>
        <v>-0.0807830318059657</v>
      </c>
    </row>
    <row r="698" customFormat="false" ht="15" hidden="false" customHeight="false" outlineLevel="0" collapsed="false">
      <c r="A698" s="6" t="s">
        <v>697</v>
      </c>
      <c r="B698" s="10" t="n">
        <v>5.3208</v>
      </c>
      <c r="C698" s="7" t="n">
        <f aca="false">(B698-B697)/B697*100</f>
        <v>0.0413642687925432</v>
      </c>
    </row>
    <row r="699" customFormat="false" ht="15" hidden="false" customHeight="false" outlineLevel="0" collapsed="false">
      <c r="A699" s="6" t="s">
        <v>698</v>
      </c>
      <c r="B699" s="10" t="n">
        <v>5.3449</v>
      </c>
      <c r="C699" s="7" t="n">
        <f aca="false">(B699-B698)/B698*100</f>
        <v>0.452939407607875</v>
      </c>
    </row>
    <row r="700" customFormat="false" ht="15" hidden="false" customHeight="false" outlineLevel="0" collapsed="false">
      <c r="A700" s="6" t="s">
        <v>699</v>
      </c>
      <c r="B700" s="10" t="n">
        <v>5.3498</v>
      </c>
      <c r="C700" s="7" t="n">
        <f aca="false">(B700-B699)/B699*100</f>
        <v>0.0916761772905036</v>
      </c>
    </row>
    <row r="701" customFormat="false" ht="15" hidden="false" customHeight="false" outlineLevel="0" collapsed="false">
      <c r="A701" s="6" t="s">
        <v>700</v>
      </c>
      <c r="B701" s="10" t="n">
        <v>5.3226</v>
      </c>
      <c r="C701" s="7" t="n">
        <f aca="false">(B701-B700)/B700*100</f>
        <v>-0.508430221690524</v>
      </c>
    </row>
    <row r="702" customFormat="false" ht="15" hidden="false" customHeight="false" outlineLevel="0" collapsed="false">
      <c r="A702" s="6" t="s">
        <v>701</v>
      </c>
      <c r="B702" s="10" t="n">
        <v>5.3363</v>
      </c>
      <c r="C702" s="7" t="n">
        <f aca="false">(B702-B701)/B701*100</f>
        <v>0.257393003419366</v>
      </c>
    </row>
    <row r="703" customFormat="false" ht="15" hidden="false" customHeight="false" outlineLevel="0" collapsed="false">
      <c r="A703" s="6" t="s">
        <v>702</v>
      </c>
      <c r="B703" s="10" t="n">
        <v>5.3427</v>
      </c>
      <c r="C703" s="7" t="n">
        <f aca="false">(B703-B702)/B702*100</f>
        <v>0.119933287109049</v>
      </c>
    </row>
    <row r="704" customFormat="false" ht="15" hidden="false" customHeight="false" outlineLevel="0" collapsed="false">
      <c r="A704" s="6" t="s">
        <v>703</v>
      </c>
      <c r="B704" s="10" t="n">
        <v>5.3538</v>
      </c>
      <c r="C704" s="7" t="n">
        <f aca="false">(B704-B703)/B703*100</f>
        <v>0.207760121286988</v>
      </c>
    </row>
    <row r="705" customFormat="false" ht="15" hidden="false" customHeight="false" outlineLevel="0" collapsed="false">
      <c r="A705" s="6" t="s">
        <v>704</v>
      </c>
      <c r="B705" s="10" t="n">
        <v>5.4446</v>
      </c>
      <c r="C705" s="7" t="n">
        <f aca="false">(B705-B704)/B704*100</f>
        <v>1.69599163211178</v>
      </c>
    </row>
    <row r="706" customFormat="false" ht="15" hidden="false" customHeight="false" outlineLevel="0" collapsed="false">
      <c r="A706" s="6" t="s">
        <v>705</v>
      </c>
      <c r="B706" s="10" t="n">
        <v>5.4629</v>
      </c>
      <c r="C706" s="7" t="n">
        <f aca="false">(B706-B705)/B705*100</f>
        <v>0.336112845755427</v>
      </c>
    </row>
    <row r="707" customFormat="false" ht="15" hidden="false" customHeight="false" outlineLevel="0" collapsed="false">
      <c r="A707" s="6" t="s">
        <v>706</v>
      </c>
      <c r="B707" s="10" t="n">
        <v>5.4982</v>
      </c>
      <c r="C707" s="7" t="n">
        <f aca="false">(B707-B706)/B706*100</f>
        <v>0.646176938988439</v>
      </c>
    </row>
    <row r="708" customFormat="false" ht="15" hidden="false" customHeight="false" outlineLevel="0" collapsed="false">
      <c r="A708" s="6" t="s">
        <v>707</v>
      </c>
      <c r="B708" s="10" t="n">
        <v>5.4464</v>
      </c>
      <c r="C708" s="7" t="n">
        <f aca="false">(B708-B707)/B707*100</f>
        <v>-0.942126514131899</v>
      </c>
    </row>
    <row r="709" customFormat="false" ht="15" hidden="false" customHeight="false" outlineLevel="0" collapsed="false">
      <c r="A709" s="6" t="s">
        <v>708</v>
      </c>
      <c r="B709" s="10" t="n">
        <v>5.4354</v>
      </c>
      <c r="C709" s="7" t="n">
        <f aca="false">(B709-B708)/B708*100</f>
        <v>-0.201968272620449</v>
      </c>
    </row>
    <row r="710" customFormat="false" ht="15" hidden="false" customHeight="false" outlineLevel="0" collapsed="false">
      <c r="A710" s="6" t="s">
        <v>709</v>
      </c>
      <c r="B710" s="10" t="n">
        <v>5.439</v>
      </c>
      <c r="C710" s="7" t="n">
        <f aca="false">(B710-B709)/B709*100</f>
        <v>0.0662324759907365</v>
      </c>
    </row>
    <row r="711" customFormat="false" ht="15" hidden="false" customHeight="false" outlineLevel="0" collapsed="false">
      <c r="A711" s="6" t="s">
        <v>710</v>
      </c>
      <c r="B711" s="10" t="n">
        <v>5.3771</v>
      </c>
      <c r="C711" s="7" t="n">
        <f aca="false">(B711-B710)/B710*100</f>
        <v>-1.13807685236256</v>
      </c>
    </row>
    <row r="712" customFormat="false" ht="15" hidden="false" customHeight="false" outlineLevel="0" collapsed="false">
      <c r="A712" s="6" t="s">
        <v>711</v>
      </c>
      <c r="B712" s="10" t="n">
        <v>5.3848</v>
      </c>
      <c r="C712" s="7" t="n">
        <f aca="false">(B712-B711)/B711*100</f>
        <v>0.143199866098823</v>
      </c>
    </row>
    <row r="713" customFormat="false" ht="15" hidden="false" customHeight="false" outlineLevel="0" collapsed="false">
      <c r="A713" s="6" t="s">
        <v>712</v>
      </c>
      <c r="B713" s="10" t="n">
        <v>5.3898</v>
      </c>
      <c r="C713" s="7" t="n">
        <f aca="false">(B713-B712)/B712*100</f>
        <v>0.0928539592928223</v>
      </c>
    </row>
    <row r="714" customFormat="false" ht="15" hidden="false" customHeight="false" outlineLevel="0" collapsed="false">
      <c r="A714" s="6" t="s">
        <v>713</v>
      </c>
      <c r="B714" s="10" t="n">
        <v>5.384</v>
      </c>
      <c r="C714" s="7" t="n">
        <f aca="false">(B714-B713)/B713*100</f>
        <v>-0.10761067201009</v>
      </c>
    </row>
    <row r="715" customFormat="false" ht="15" hidden="false" customHeight="false" outlineLevel="0" collapsed="false">
      <c r="A715" s="6" t="s">
        <v>714</v>
      </c>
      <c r="B715" s="10" t="n">
        <v>5.3797</v>
      </c>
      <c r="C715" s="7" t="n">
        <f aca="false">(B715-B714)/B714*100</f>
        <v>-0.0798662704309182</v>
      </c>
    </row>
    <row r="716" customFormat="false" ht="15" hidden="false" customHeight="false" outlineLevel="0" collapsed="false">
      <c r="A716" s="6" t="s">
        <v>715</v>
      </c>
      <c r="B716" s="10" t="n">
        <v>5.3744</v>
      </c>
      <c r="C716" s="7" t="n">
        <f aca="false">(B716-B715)/B715*100</f>
        <v>-0.098518504749337</v>
      </c>
    </row>
    <row r="717" customFormat="false" ht="15" hidden="false" customHeight="false" outlineLevel="0" collapsed="false">
      <c r="A717" s="6" t="s">
        <v>716</v>
      </c>
      <c r="B717" s="10" t="n">
        <v>5.369</v>
      </c>
      <c r="C717" s="7" t="n">
        <f aca="false">(B717-B716)/B716*100</f>
        <v>-0.100476332241736</v>
      </c>
    </row>
    <row r="718" customFormat="false" ht="15" hidden="false" customHeight="false" outlineLevel="0" collapsed="false">
      <c r="A718" s="6" t="s">
        <v>717</v>
      </c>
      <c r="B718" s="10" t="n">
        <v>5.3416</v>
      </c>
      <c r="C718" s="7" t="n">
        <f aca="false">(B718-B717)/B717*100</f>
        <v>-0.510337120506614</v>
      </c>
    </row>
    <row r="719" customFormat="false" ht="15" hidden="false" customHeight="false" outlineLevel="0" collapsed="false">
      <c r="A719" s="6" t="s">
        <v>718</v>
      </c>
      <c r="B719" s="10" t="n">
        <v>5.385</v>
      </c>
      <c r="C719" s="7" t="n">
        <f aca="false">(B719-B718)/B718*100</f>
        <v>0.812490639508763</v>
      </c>
    </row>
    <row r="720" customFormat="false" ht="15" hidden="false" customHeight="false" outlineLevel="0" collapsed="false">
      <c r="A720" s="6" t="s">
        <v>719</v>
      </c>
      <c r="B720" s="10" t="n">
        <v>5.3843</v>
      </c>
      <c r="C720" s="7" t="n">
        <f aca="false">(B720-B719)/B719*100</f>
        <v>-0.0129990714948959</v>
      </c>
    </row>
    <row r="721" customFormat="false" ht="15" hidden="false" customHeight="false" outlineLevel="0" collapsed="false">
      <c r="A721" s="6" t="s">
        <v>720</v>
      </c>
      <c r="B721" s="10" t="n">
        <v>5.3505</v>
      </c>
      <c r="C721" s="7" t="n">
        <f aca="false">(B721-B720)/B720*100</f>
        <v>-0.627751053990294</v>
      </c>
    </row>
    <row r="722" customFormat="false" ht="15" hidden="false" customHeight="false" outlineLevel="0" collapsed="false">
      <c r="A722" s="6" t="s">
        <v>721</v>
      </c>
      <c r="B722" s="10" t="n">
        <v>5.3846</v>
      </c>
      <c r="C722" s="7" t="n">
        <f aca="false">(B722-B721)/B721*100</f>
        <v>0.637323614615449</v>
      </c>
    </row>
    <row r="723" customFormat="false" ht="15" hidden="false" customHeight="false" outlineLevel="0" collapsed="false">
      <c r="A723" s="6" t="s">
        <v>722</v>
      </c>
      <c r="B723" s="10" t="n">
        <v>5.3798</v>
      </c>
      <c r="C723" s="7" t="n">
        <f aca="false">(B723-B722)/B722*100</f>
        <v>-0.0891431118374526</v>
      </c>
    </row>
    <row r="724" customFormat="false" ht="15" hidden="false" customHeight="false" outlineLevel="0" collapsed="false">
      <c r="A724" s="6" t="s">
        <v>723</v>
      </c>
      <c r="B724" s="10" t="n">
        <v>5.3451</v>
      </c>
      <c r="C724" s="7" t="n">
        <f aca="false">(B724-B723)/B723*100</f>
        <v>-0.645005390534963</v>
      </c>
    </row>
    <row r="725" customFormat="false" ht="15" hidden="false" customHeight="false" outlineLevel="0" collapsed="false">
      <c r="A725" s="6" t="s">
        <v>724</v>
      </c>
      <c r="B725" s="10" t="n">
        <v>5.3567</v>
      </c>
      <c r="C725" s="7" t="n">
        <f aca="false">(B725-B724)/B724*100</f>
        <v>0.217021196984146</v>
      </c>
    </row>
    <row r="726" customFormat="false" ht="15" hidden="false" customHeight="false" outlineLevel="0" collapsed="false">
      <c r="A726" s="6" t="s">
        <v>725</v>
      </c>
      <c r="B726" s="10" t="n">
        <v>5.3181</v>
      </c>
      <c r="C726" s="7" t="n">
        <f aca="false">(B726-B725)/B725*100</f>
        <v>-0.720592902346589</v>
      </c>
    </row>
    <row r="727" customFormat="false" ht="15" hidden="false" customHeight="false" outlineLevel="0" collapsed="false">
      <c r="A727" s="6" t="s">
        <v>726</v>
      </c>
      <c r="B727" s="10" t="n">
        <v>5.2729</v>
      </c>
      <c r="C727" s="7" t="n">
        <f aca="false">(B727-B726)/B726*100</f>
        <v>-0.849927605723855</v>
      </c>
    </row>
    <row r="728" customFormat="false" ht="15" hidden="false" customHeight="false" outlineLevel="0" collapsed="false">
      <c r="A728" s="6" t="s">
        <v>727</v>
      </c>
      <c r="B728" s="10" t="n">
        <v>5.2885</v>
      </c>
      <c r="C728" s="7" t="n">
        <f aca="false">(B728-B727)/B727*100</f>
        <v>0.295852377249712</v>
      </c>
    </row>
    <row r="729" customFormat="false" ht="15" hidden="false" customHeight="false" outlineLevel="0" collapsed="false">
      <c r="A729" s="6" t="s">
        <v>728</v>
      </c>
      <c r="B729" s="10" t="n">
        <v>5.282</v>
      </c>
      <c r="C729" s="7" t="n">
        <f aca="false">(B729-B728)/B728*100</f>
        <v>-0.122908197031293</v>
      </c>
    </row>
    <row r="730" customFormat="false" ht="15" hidden="false" customHeight="false" outlineLevel="0" collapsed="false">
      <c r="A730" s="6" t="s">
        <v>729</v>
      </c>
      <c r="B730" s="10" t="n">
        <v>5.2952</v>
      </c>
      <c r="C730" s="7" t="n">
        <f aca="false">(B730-B729)/B729*100</f>
        <v>0.249905338886791</v>
      </c>
    </row>
    <row r="731" customFormat="false" ht="15" hidden="false" customHeight="false" outlineLevel="0" collapsed="false">
      <c r="A731" s="6" t="s">
        <v>730</v>
      </c>
      <c r="B731" s="10" t="n">
        <v>5.3108</v>
      </c>
      <c r="C731" s="7" t="n">
        <f aca="false">(B731-B730)/B730*100</f>
        <v>0.294606436017526</v>
      </c>
    </row>
    <row r="732" customFormat="false" ht="15" hidden="false" customHeight="false" outlineLevel="0" collapsed="false">
      <c r="A732" s="6" t="s">
        <v>731</v>
      </c>
      <c r="B732" s="10" t="n">
        <v>5.3361</v>
      </c>
      <c r="C732" s="7" t="n">
        <f aca="false">(B732-B731)/B731*100</f>
        <v>0.476387738193863</v>
      </c>
    </row>
    <row r="733" customFormat="false" ht="15" hidden="false" customHeight="false" outlineLevel="0" collapsed="false">
      <c r="A733" s="6" t="s">
        <v>732</v>
      </c>
      <c r="B733" s="10" t="n">
        <v>5.3346</v>
      </c>
      <c r="C733" s="7" t="n">
        <f aca="false">(B733-B732)/B732*100</f>
        <v>-0.0281104177208084</v>
      </c>
    </row>
    <row r="734" customFormat="false" ht="15" hidden="false" customHeight="false" outlineLevel="0" collapsed="false">
      <c r="A734" s="6" t="s">
        <v>733</v>
      </c>
      <c r="B734" s="10" t="n">
        <v>5.3902</v>
      </c>
      <c r="C734" s="7" t="n">
        <f aca="false">(B734-B733)/B733*100</f>
        <v>1.04225246503955</v>
      </c>
    </row>
    <row r="735" customFormat="false" ht="15" hidden="false" customHeight="false" outlineLevel="0" collapsed="false">
      <c r="A735" s="6" t="s">
        <v>734</v>
      </c>
      <c r="B735" s="10" t="n">
        <v>5.3948</v>
      </c>
      <c r="C735" s="7" t="n">
        <f aca="false">(B735-B734)/B734*100</f>
        <v>0.0853400615932607</v>
      </c>
    </row>
    <row r="736" customFormat="false" ht="15" hidden="false" customHeight="false" outlineLevel="0" collapsed="false">
      <c r="A736" s="6" t="s">
        <v>735</v>
      </c>
      <c r="B736" s="10" t="n">
        <v>5.3841</v>
      </c>
      <c r="C736" s="7" t="n">
        <f aca="false">(B736-B735)/B735*100</f>
        <v>-0.198339141395417</v>
      </c>
    </row>
    <row r="737" customFormat="false" ht="15" hidden="false" customHeight="false" outlineLevel="0" collapsed="false">
      <c r="A737" s="6" t="s">
        <v>736</v>
      </c>
      <c r="B737" s="10" t="n">
        <v>5.3694</v>
      </c>
      <c r="C737" s="7" t="n">
        <f aca="false">(B737-B736)/B736*100</f>
        <v>-0.273026132501261</v>
      </c>
    </row>
    <row r="738" customFormat="false" ht="15" hidden="false" customHeight="false" outlineLevel="0" collapsed="false">
      <c r="A738" s="6" t="s">
        <v>737</v>
      </c>
      <c r="B738" s="10" t="n">
        <v>5.349</v>
      </c>
      <c r="C738" s="7" t="n">
        <f aca="false">(B738-B737)/B737*100</f>
        <v>-0.379930718516027</v>
      </c>
    </row>
    <row r="739" customFormat="false" ht="15" hidden="false" customHeight="false" outlineLevel="0" collapsed="false">
      <c r="A739" s="6" t="s">
        <v>738</v>
      </c>
      <c r="B739" s="10" t="n">
        <v>5.3338</v>
      </c>
      <c r="C739" s="7" t="n">
        <f aca="false">(B739-B738)/B738*100</f>
        <v>-0.284165264535429</v>
      </c>
    </row>
    <row r="740" customFormat="false" ht="15" hidden="false" customHeight="false" outlineLevel="0" collapsed="false">
      <c r="A740" s="6" t="s">
        <v>739</v>
      </c>
      <c r="B740" s="10" t="n">
        <v>5.3469</v>
      </c>
      <c r="C740" s="7" t="n">
        <f aca="false">(B740-B739)/B739*100</f>
        <v>0.245603509692896</v>
      </c>
    </row>
    <row r="741" customFormat="false" ht="15" hidden="false" customHeight="false" outlineLevel="0" collapsed="false">
      <c r="A741" s="6" t="s">
        <v>740</v>
      </c>
      <c r="B741" s="10" t="n">
        <v>5.3465</v>
      </c>
      <c r="C741" s="7" t="n">
        <f aca="false">(B741-B740)/B740*100</f>
        <v>-0.00748097028184473</v>
      </c>
    </row>
    <row r="742" customFormat="false" ht="15" hidden="false" customHeight="false" outlineLevel="0" collapsed="false">
      <c r="A742" s="6" t="s">
        <v>741</v>
      </c>
      <c r="B742" s="10" t="n">
        <v>5.3114</v>
      </c>
      <c r="C742" s="7" t="n">
        <f aca="false">(B742-B741)/B741*100</f>
        <v>-0.65650425512017</v>
      </c>
    </row>
    <row r="743" customFormat="false" ht="15" hidden="false" customHeight="false" outlineLevel="0" collapsed="false">
      <c r="A743" s="6" t="s">
        <v>742</v>
      </c>
      <c r="B743" s="10" t="n">
        <v>5.2952</v>
      </c>
      <c r="C743" s="7" t="n">
        <f aca="false">(B743-B742)/B742*100</f>
        <v>-0.305004330308385</v>
      </c>
    </row>
    <row r="744" customFormat="false" ht="15" hidden="false" customHeight="false" outlineLevel="0" collapsed="false">
      <c r="A744" s="6" t="s">
        <v>743</v>
      </c>
      <c r="B744" s="10" t="n">
        <v>5.3405</v>
      </c>
      <c r="C744" s="7" t="n">
        <f aca="false">(B744-B743)/B743*100</f>
        <v>0.855491766127799</v>
      </c>
    </row>
    <row r="745" customFormat="false" ht="15" hidden="false" customHeight="false" outlineLevel="0" collapsed="false">
      <c r="A745" s="6" t="s">
        <v>744</v>
      </c>
      <c r="B745" s="10" t="n">
        <v>5.4249</v>
      </c>
      <c r="C745" s="7" t="n">
        <f aca="false">(B745-B744)/B744*100</f>
        <v>1.58037636925382</v>
      </c>
    </row>
    <row r="746" customFormat="false" ht="15" hidden="false" customHeight="false" outlineLevel="0" collapsed="false">
      <c r="A746" s="6" t="s">
        <v>745</v>
      </c>
      <c r="B746" s="10" t="n">
        <v>5.457</v>
      </c>
      <c r="C746" s="7" t="n">
        <f aca="false">(B746-B745)/B745*100</f>
        <v>0.591715976331357</v>
      </c>
    </row>
    <row r="747" customFormat="false" ht="15" hidden="false" customHeight="false" outlineLevel="0" collapsed="false">
      <c r="A747" s="6" t="s">
        <v>746</v>
      </c>
      <c r="B747" s="10" t="n">
        <v>5.4656</v>
      </c>
      <c r="C747" s="7" t="n">
        <f aca="false">(B747-B746)/B746*100</f>
        <v>0.157595748579813</v>
      </c>
    </row>
    <row r="748" customFormat="false" ht="15" hidden="false" customHeight="false" outlineLevel="0" collapsed="false">
      <c r="A748" s="6" t="s">
        <v>747</v>
      </c>
      <c r="B748" s="10" t="n">
        <v>5.4237</v>
      </c>
      <c r="C748" s="7" t="n">
        <f aca="false">(B748-B747)/B747*100</f>
        <v>-0.76661299765808</v>
      </c>
    </row>
    <row r="749" customFormat="false" ht="15" hidden="false" customHeight="false" outlineLevel="0" collapsed="false">
      <c r="A749" s="6" t="s">
        <v>748</v>
      </c>
      <c r="B749" s="10" t="n">
        <v>5.4011</v>
      </c>
      <c r="C749" s="7" t="n">
        <f aca="false">(B749-B748)/B748*100</f>
        <v>-0.416689713664115</v>
      </c>
    </row>
    <row r="750" customFormat="false" ht="15" hidden="false" customHeight="false" outlineLevel="0" collapsed="false">
      <c r="A750" s="6" t="s">
        <v>749</v>
      </c>
      <c r="B750" s="10" t="n">
        <v>5.3929</v>
      </c>
      <c r="C750" s="7" t="n">
        <f aca="false">(B750-B749)/B749*100</f>
        <v>-0.151820925367046</v>
      </c>
    </row>
    <row r="751" customFormat="false" ht="15" hidden="false" customHeight="false" outlineLevel="0" collapsed="false">
      <c r="A751" s="6" t="s">
        <v>750</v>
      </c>
      <c r="B751" s="10" t="n">
        <v>5.4505</v>
      </c>
      <c r="C751" s="7" t="n">
        <f aca="false">(B751-B750)/B750*100</f>
        <v>1.06807098221736</v>
      </c>
    </row>
    <row r="752" customFormat="false" ht="15" hidden="false" customHeight="false" outlineLevel="0" collapsed="false">
      <c r="A752" s="6" t="s">
        <v>751</v>
      </c>
      <c r="B752" s="10" t="n">
        <v>5.5093</v>
      </c>
      <c r="C752" s="7" t="n">
        <f aca="false">(B752-B751)/B751*100</f>
        <v>1.07880011008164</v>
      </c>
    </row>
    <row r="753" customFormat="false" ht="15" hidden="false" customHeight="false" outlineLevel="0" collapsed="false">
      <c r="A753" s="6" t="s">
        <v>752</v>
      </c>
      <c r="B753" s="10" t="n">
        <v>5.5283</v>
      </c>
      <c r="C753" s="7" t="n">
        <f aca="false">(B753-B752)/B752*100</f>
        <v>0.344871399270327</v>
      </c>
    </row>
    <row r="754" customFormat="false" ht="15" hidden="false" customHeight="false" outlineLevel="0" collapsed="false">
      <c r="A754" s="6" t="s">
        <v>753</v>
      </c>
      <c r="B754" s="10" t="n">
        <v>5.516</v>
      </c>
      <c r="C754" s="7" t="n">
        <f aca="false">(B754-B753)/B753*100</f>
        <v>-0.222491543512468</v>
      </c>
    </row>
    <row r="755" customFormat="false" ht="15" hidden="false" customHeight="false" outlineLevel="0" collapsed="false">
      <c r="A755" s="6" t="s">
        <v>754</v>
      </c>
      <c r="B755" s="10" t="n">
        <v>5.5389</v>
      </c>
      <c r="C755" s="7" t="n">
        <f aca="false">(B755-B754)/B754*100</f>
        <v>0.415155910079767</v>
      </c>
    </row>
    <row r="756" customFormat="false" ht="15" hidden="false" customHeight="false" outlineLevel="0" collapsed="false">
      <c r="A756" s="6" t="s">
        <v>755</v>
      </c>
      <c r="B756" s="10" t="n">
        <v>5.5643</v>
      </c>
      <c r="C756" s="7" t="n">
        <f aca="false">(B756-B755)/B755*100</f>
        <v>0.458574807272208</v>
      </c>
    </row>
    <row r="757" customFormat="false" ht="15" hidden="false" customHeight="false" outlineLevel="0" collapsed="false">
      <c r="A757" s="6" t="s">
        <v>756</v>
      </c>
      <c r="B757" s="10" t="n">
        <v>5.535</v>
      </c>
      <c r="C757" s="7" t="n">
        <f aca="false">(B757-B756)/B756*100</f>
        <v>-0.526571176967455</v>
      </c>
    </row>
    <row r="758" customFormat="false" ht="15" hidden="false" customHeight="false" outlineLevel="0" collapsed="false">
      <c r="A758" s="6" t="s">
        <v>757</v>
      </c>
      <c r="B758" s="10" t="n">
        <v>5.5413</v>
      </c>
      <c r="C758" s="7" t="n">
        <f aca="false">(B758-B757)/B757*100</f>
        <v>0.113821138211374</v>
      </c>
    </row>
    <row r="759" customFormat="false" ht="15" hidden="false" customHeight="false" outlineLevel="0" collapsed="false">
      <c r="A759" s="6" t="s">
        <v>758</v>
      </c>
      <c r="B759" s="10" t="n">
        <v>5.5739</v>
      </c>
      <c r="C759" s="7" t="n">
        <f aca="false">(B759-B758)/B758*100</f>
        <v>0.588309602439868</v>
      </c>
    </row>
    <row r="760" customFormat="false" ht="15" hidden="false" customHeight="false" outlineLevel="0" collapsed="false">
      <c r="A760" s="6" t="s">
        <v>759</v>
      </c>
      <c r="B760" s="10" t="n">
        <v>5.5024</v>
      </c>
      <c r="C760" s="7" t="n">
        <f aca="false">(B760-B759)/B759*100</f>
        <v>-1.28276431224099</v>
      </c>
    </row>
    <row r="761" customFormat="false" ht="15" hidden="false" customHeight="false" outlineLevel="0" collapsed="false">
      <c r="A761" s="6" t="s">
        <v>760</v>
      </c>
      <c r="B761" s="10" t="n">
        <v>5.5024</v>
      </c>
      <c r="C761" s="7" t="n">
        <f aca="false">(B761-B760)/B760*100</f>
        <v>0</v>
      </c>
    </row>
    <row r="762" customFormat="false" ht="15" hidden="false" customHeight="false" outlineLevel="0" collapsed="false">
      <c r="A762" s="6" t="s">
        <v>761</v>
      </c>
      <c r="B762" s="10" t="n">
        <v>5.4372</v>
      </c>
      <c r="C762" s="7" t="n">
        <f aca="false">(B762-B761)/B761*100</f>
        <v>-1.18493748182611</v>
      </c>
    </row>
    <row r="763" customFormat="false" ht="15" hidden="false" customHeight="false" outlineLevel="0" collapsed="false">
      <c r="A763" s="6" t="s">
        <v>762</v>
      </c>
      <c r="B763" s="10" t="n">
        <v>5.4351</v>
      </c>
      <c r="C763" s="7" t="n">
        <f aca="false">(B763-B762)/B762*100</f>
        <v>-0.0386228205694024</v>
      </c>
    </row>
    <row r="764" customFormat="false" ht="15" hidden="false" customHeight="false" outlineLevel="0" collapsed="false">
      <c r="A764" s="6" t="s">
        <v>763</v>
      </c>
      <c r="B764" s="10" t="n">
        <v>5.3797</v>
      </c>
      <c r="C764" s="7" t="n">
        <f aca="false">(B764-B763)/B763*100</f>
        <v>-1.0193004728524</v>
      </c>
    </row>
    <row r="765" customFormat="false" ht="15" hidden="false" customHeight="false" outlineLevel="0" collapsed="false">
      <c r="A765" s="6" t="s">
        <v>764</v>
      </c>
      <c r="B765" s="10" t="n">
        <v>5.388</v>
      </c>
      <c r="C765" s="7" t="n">
        <f aca="false">(B765-B764)/B764*100</f>
        <v>0.154283696116888</v>
      </c>
    </row>
    <row r="766" customFormat="false" ht="15" hidden="false" customHeight="false" outlineLevel="0" collapsed="false">
      <c r="A766" s="6" t="s">
        <v>765</v>
      </c>
      <c r="B766" s="10" t="n">
        <v>5.386</v>
      </c>
      <c r="C766" s="7" t="n">
        <f aca="false">(B766-B765)/B765*100</f>
        <v>-0.0371195248700776</v>
      </c>
    </row>
    <row r="767" customFormat="false" ht="15" hidden="false" customHeight="false" outlineLevel="0" collapsed="false">
      <c r="A767" s="6" t="s">
        <v>766</v>
      </c>
      <c r="B767" s="10" t="n">
        <v>5.3707</v>
      </c>
      <c r="C767" s="7" t="n">
        <f aca="false">(B767-B766)/B766*100</f>
        <v>-0.284069810620124</v>
      </c>
    </row>
    <row r="768" customFormat="false" ht="15" hidden="false" customHeight="false" outlineLevel="0" collapsed="false">
      <c r="A768" s="6" t="s">
        <v>767</v>
      </c>
      <c r="B768" s="10" t="n">
        <v>5.376</v>
      </c>
      <c r="C768" s="7" t="n">
        <f aca="false">(B768-B767)/B767*100</f>
        <v>0.0986835980412252</v>
      </c>
    </row>
    <row r="769" customFormat="false" ht="15" hidden="false" customHeight="false" outlineLevel="0" collapsed="false">
      <c r="A769" s="6" t="s">
        <v>768</v>
      </c>
      <c r="B769" s="10" t="n">
        <v>5.3764</v>
      </c>
      <c r="C769" s="7" t="n">
        <f aca="false">(B769-B768)/B768*100</f>
        <v>0.00744047619047537</v>
      </c>
    </row>
    <row r="770" customFormat="false" ht="15" hidden="false" customHeight="false" outlineLevel="0" collapsed="false">
      <c r="A770" s="6" t="s">
        <v>769</v>
      </c>
      <c r="B770" s="10" t="n">
        <v>5.3795</v>
      </c>
      <c r="C770" s="7" t="n">
        <f aca="false">(B770-B769)/B769*100</f>
        <v>0.0576594003422342</v>
      </c>
    </row>
    <row r="771" customFormat="false" ht="15" hidden="false" customHeight="false" outlineLevel="0" collapsed="false">
      <c r="A771" s="6" t="s">
        <v>770</v>
      </c>
      <c r="B771" s="10" t="n">
        <v>5.3846</v>
      </c>
      <c r="C771" s="7" t="n">
        <f aca="false">(B771-B770)/B770*100</f>
        <v>0.0948043498466337</v>
      </c>
    </row>
    <row r="772" customFormat="false" ht="15" hidden="false" customHeight="false" outlineLevel="0" collapsed="false">
      <c r="A772" s="6" t="s">
        <v>771</v>
      </c>
      <c r="B772" s="10" t="n">
        <v>5.3798</v>
      </c>
      <c r="C772" s="7" t="n">
        <f aca="false">(B772-B771)/B771*100</f>
        <v>-0.0891431118374526</v>
      </c>
    </row>
    <row r="773" customFormat="false" ht="15" hidden="false" customHeight="false" outlineLevel="0" collapsed="false">
      <c r="A773" s="6" t="s">
        <v>772</v>
      </c>
      <c r="B773" s="10" t="n">
        <v>5.3653</v>
      </c>
      <c r="C773" s="7" t="n">
        <f aca="false">(B773-B772)/B772*100</f>
        <v>-0.269526748206252</v>
      </c>
    </row>
    <row r="774" customFormat="false" ht="15" hidden="false" customHeight="false" outlineLevel="0" collapsed="false">
      <c r="A774" s="6" t="s">
        <v>773</v>
      </c>
      <c r="B774" s="10" t="n">
        <v>5.379</v>
      </c>
      <c r="C774" s="7" t="n">
        <f aca="false">(B774-B773)/B773*100</f>
        <v>0.255344528730903</v>
      </c>
    </row>
    <row r="775" customFormat="false" ht="15" hidden="false" customHeight="false" outlineLevel="0" collapsed="false">
      <c r="A775" s="6" t="s">
        <v>774</v>
      </c>
      <c r="B775" s="10" t="n">
        <v>5.3368</v>
      </c>
      <c r="C775" s="7" t="n">
        <f aca="false">(B775-B774)/B774*100</f>
        <v>-0.784532440974147</v>
      </c>
    </row>
    <row r="776" customFormat="false" ht="15" hidden="false" customHeight="false" outlineLevel="0" collapsed="false">
      <c r="A776" s="6" t="s">
        <v>775</v>
      </c>
      <c r="B776" s="10" t="n">
        <v>5.3118</v>
      </c>
      <c r="C776" s="7" t="n">
        <f aca="false">(B776-B775)/B775*100</f>
        <v>-0.468445510418235</v>
      </c>
    </row>
    <row r="777" customFormat="false" ht="15" hidden="false" customHeight="false" outlineLevel="0" collapsed="false">
      <c r="A777" s="6" t="s">
        <v>776</v>
      </c>
      <c r="B777" s="10" t="n">
        <v>5.2879</v>
      </c>
      <c r="C777" s="7" t="n">
        <f aca="false">(B777-B776)/B776*100</f>
        <v>-0.449941639368957</v>
      </c>
    </row>
    <row r="778" customFormat="false" ht="15" hidden="false" customHeight="false" outlineLevel="0" collapsed="false">
      <c r="A778" s="6" t="s">
        <v>777</v>
      </c>
      <c r="B778" s="10" t="n">
        <v>5.276</v>
      </c>
      <c r="C778" s="7" t="n">
        <f aca="false">(B778-B777)/B777*100</f>
        <v>-0.225042077195102</v>
      </c>
    </row>
    <row r="779" customFormat="false" ht="15" hidden="false" customHeight="false" outlineLevel="0" collapsed="false">
      <c r="A779" s="6" t="s">
        <v>778</v>
      </c>
      <c r="B779" s="10" t="n">
        <v>5.2392</v>
      </c>
      <c r="C779" s="7" t="n">
        <f aca="false">(B779-B778)/B778*100</f>
        <v>-0.697498104624706</v>
      </c>
    </row>
    <row r="780" customFormat="false" ht="15" hidden="false" customHeight="false" outlineLevel="0" collapsed="false">
      <c r="A780" s="6" t="s">
        <v>779</v>
      </c>
      <c r="B780" s="10" t="n">
        <v>5.1838</v>
      </c>
      <c r="C780" s="7" t="n">
        <f aca="false">(B780-B779)/B779*100</f>
        <v>-1.05741334554895</v>
      </c>
    </row>
    <row r="781" customFormat="false" ht="15" hidden="false" customHeight="false" outlineLevel="0" collapsed="false">
      <c r="A781" s="6" t="s">
        <v>780</v>
      </c>
      <c r="B781" s="10" t="n">
        <v>5.1956</v>
      </c>
      <c r="C781" s="7" t="n">
        <f aca="false">(B781-B780)/B780*100</f>
        <v>0.227632238898106</v>
      </c>
    </row>
    <row r="782" customFormat="false" ht="15" hidden="false" customHeight="false" outlineLevel="0" collapsed="false">
      <c r="A782" s="6" t="s">
        <v>781</v>
      </c>
      <c r="B782" s="10" t="n">
        <v>5.2301</v>
      </c>
      <c r="C782" s="7" t="n">
        <f aca="false">(B782-B781)/B781*100</f>
        <v>0.664023404419132</v>
      </c>
    </row>
    <row r="783" customFormat="false" ht="15" hidden="false" customHeight="false" outlineLevel="0" collapsed="false">
      <c r="A783" s="6" t="s">
        <v>782</v>
      </c>
      <c r="B783" s="10" t="n">
        <v>5.2587</v>
      </c>
      <c r="C783" s="7" t="n">
        <f aca="false">(B783-B782)/B782*100</f>
        <v>0.546834668553182</v>
      </c>
    </row>
    <row r="784" customFormat="false" ht="15" hidden="false" customHeight="false" outlineLevel="0" collapsed="false">
      <c r="A784" s="6" t="s">
        <v>783</v>
      </c>
      <c r="B784" s="10" t="n">
        <v>5.2236</v>
      </c>
      <c r="C784" s="7" t="n">
        <f aca="false">(B784-B783)/B783*100</f>
        <v>-0.667465343145643</v>
      </c>
    </row>
    <row r="785" customFormat="false" ht="15" hidden="false" customHeight="false" outlineLevel="0" collapsed="false">
      <c r="A785" s="6" t="s">
        <v>784</v>
      </c>
      <c r="B785" s="10" t="n">
        <v>5.2359</v>
      </c>
      <c r="C785" s="7" t="n">
        <f aca="false">(B785-B784)/B784*100</f>
        <v>0.235469790948766</v>
      </c>
    </row>
    <row r="786" customFormat="false" ht="15" hidden="false" customHeight="false" outlineLevel="0" collapsed="false">
      <c r="A786" s="6" t="s">
        <v>785</v>
      </c>
      <c r="B786" s="10" t="n">
        <v>5.258</v>
      </c>
      <c r="C786" s="7" t="n">
        <f aca="false">(B786-B785)/B785*100</f>
        <v>0.42208598330755</v>
      </c>
    </row>
    <row r="787" customFormat="false" ht="15" hidden="false" customHeight="false" outlineLevel="0" collapsed="false">
      <c r="A787" s="6" t="s">
        <v>786</v>
      </c>
      <c r="B787" s="10" t="n">
        <v>5.2341</v>
      </c>
      <c r="C787" s="7" t="n">
        <f aca="false">(B787-B786)/B786*100</f>
        <v>-0.454545454545459</v>
      </c>
    </row>
    <row r="788" customFormat="false" ht="15" hidden="false" customHeight="false" outlineLevel="0" collapsed="false">
      <c r="A788" s="6" t="s">
        <v>787</v>
      </c>
      <c r="B788" s="10" t="n">
        <v>5.1943</v>
      </c>
      <c r="C788" s="7" t="n">
        <f aca="false">(B788-B787)/B787*100</f>
        <v>-0.760398158231589</v>
      </c>
    </row>
    <row r="789" customFormat="false" ht="15" hidden="false" customHeight="false" outlineLevel="0" collapsed="false">
      <c r="A789" s="6" t="s">
        <v>788</v>
      </c>
      <c r="B789" s="10" t="n">
        <v>5.2021</v>
      </c>
      <c r="C789" s="7" t="n">
        <f aca="false">(B789-B788)/B788*100</f>
        <v>0.150164603507683</v>
      </c>
    </row>
    <row r="790" customFormat="false" ht="15" hidden="false" customHeight="false" outlineLevel="0" collapsed="false">
      <c r="A790" s="6" t="s">
        <v>789</v>
      </c>
      <c r="B790" s="10" t="n">
        <v>5.1836</v>
      </c>
      <c r="C790" s="7" t="n">
        <f aca="false">(B790-B789)/B789*100</f>
        <v>-0.35562561273331</v>
      </c>
    </row>
    <row r="791" customFormat="false" ht="15" hidden="false" customHeight="false" outlineLevel="0" collapsed="false">
      <c r="A791" s="6" t="s">
        <v>790</v>
      </c>
      <c r="B791" s="10" t="n">
        <v>5.1674</v>
      </c>
      <c r="C791" s="7" t="n">
        <f aca="false">(B791-B790)/B790*100</f>
        <v>-0.312524114515017</v>
      </c>
    </row>
    <row r="792" customFormat="false" ht="15" hidden="false" customHeight="false" outlineLevel="0" collapsed="false">
      <c r="A792" s="6" t="s">
        <v>791</v>
      </c>
      <c r="B792" s="10" t="n">
        <v>5.2288</v>
      </c>
      <c r="C792" s="7" t="n">
        <f aca="false">(B792-B791)/B791*100</f>
        <v>1.18821844641406</v>
      </c>
    </row>
    <row r="793" customFormat="false" ht="15" hidden="false" customHeight="false" outlineLevel="0" collapsed="false">
      <c r="A793" s="6" t="s">
        <v>792</v>
      </c>
      <c r="B793" s="10" t="n">
        <v>5.2349</v>
      </c>
      <c r="C793" s="7" t="n">
        <f aca="false">(B793-B792)/B792*100</f>
        <v>0.116661566707466</v>
      </c>
    </row>
    <row r="794" customFormat="false" ht="15" hidden="false" customHeight="false" outlineLevel="0" collapsed="false">
      <c r="A794" s="6" t="s">
        <v>793</v>
      </c>
      <c r="B794" s="10" t="n">
        <v>5.2257</v>
      </c>
      <c r="C794" s="7" t="n">
        <f aca="false">(B794-B793)/B793*100</f>
        <v>-0.175743567212361</v>
      </c>
    </row>
    <row r="795" customFormat="false" ht="15" hidden="false" customHeight="false" outlineLevel="0" collapsed="false">
      <c r="A795" s="6" t="s">
        <v>794</v>
      </c>
      <c r="B795" s="10" t="n">
        <v>5.2006</v>
      </c>
      <c r="C795" s="7" t="n">
        <f aca="false">(B795-B794)/B794*100</f>
        <v>-0.480318426239549</v>
      </c>
    </row>
    <row r="796" customFormat="false" ht="15" hidden="false" customHeight="false" outlineLevel="0" collapsed="false">
      <c r="A796" s="6" t="s">
        <v>795</v>
      </c>
      <c r="B796" s="10" t="n">
        <v>5.1635</v>
      </c>
      <c r="C796" s="7" t="n">
        <f aca="false">(B796-B795)/B795*100</f>
        <v>-0.713379225473978</v>
      </c>
    </row>
    <row r="797" customFormat="false" ht="15" hidden="false" customHeight="false" outlineLevel="0" collapsed="false">
      <c r="A797" s="6" t="s">
        <v>796</v>
      </c>
      <c r="B797" s="10" t="n">
        <v>5.1682</v>
      </c>
      <c r="C797" s="7" t="n">
        <f aca="false">(B797-B796)/B796*100</f>
        <v>0.0910235305509771</v>
      </c>
    </row>
    <row r="798" customFormat="false" ht="15" hidden="false" customHeight="false" outlineLevel="0" collapsed="false">
      <c r="A798" s="6" t="s">
        <v>797</v>
      </c>
      <c r="B798" s="10" t="n">
        <v>5.144</v>
      </c>
      <c r="C798" s="7" t="n">
        <f aca="false">(B798-B797)/B797*100</f>
        <v>-0.468248132812189</v>
      </c>
    </row>
    <row r="799" customFormat="false" ht="15" hidden="false" customHeight="false" outlineLevel="0" collapsed="false">
      <c r="A799" s="6" t="s">
        <v>798</v>
      </c>
      <c r="B799" s="10" t="n">
        <v>5.1382</v>
      </c>
      <c r="C799" s="7" t="n">
        <f aca="false">(B799-B798)/B798*100</f>
        <v>-0.112752721617415</v>
      </c>
    </row>
    <row r="800" customFormat="false" ht="15" hidden="false" customHeight="false" outlineLevel="0" collapsed="false">
      <c r="A800" s="6" t="s">
        <v>799</v>
      </c>
      <c r="B800" s="10" t="n">
        <v>5.1495</v>
      </c>
      <c r="C800" s="7" t="n">
        <f aca="false">(B800-B799)/B799*100</f>
        <v>0.219921373243537</v>
      </c>
    </row>
    <row r="801" customFormat="false" ht="15" hidden="false" customHeight="false" outlineLevel="0" collapsed="false">
      <c r="A801" s="6" t="s">
        <v>800</v>
      </c>
      <c r="B801" s="10" t="n">
        <v>5.2001</v>
      </c>
      <c r="C801" s="7" t="n">
        <f aca="false">(B801-B800)/B800*100</f>
        <v>0.982619671812801</v>
      </c>
    </row>
    <row r="802" customFormat="false" ht="15" hidden="false" customHeight="false" outlineLevel="0" collapsed="false">
      <c r="A802" s="6" t="s">
        <v>801</v>
      </c>
      <c r="B802" s="10" t="n">
        <v>5.287</v>
      </c>
      <c r="C802" s="7" t="n">
        <f aca="false">(B802-B801)/B801*100</f>
        <v>1.6711217091979</v>
      </c>
    </row>
    <row r="803" customFormat="false" ht="15" hidden="false" customHeight="false" outlineLevel="0" collapsed="false">
      <c r="A803" s="6" t="s">
        <v>802</v>
      </c>
      <c r="B803" s="10" t="n">
        <v>5.2091</v>
      </c>
      <c r="C803" s="7" t="n">
        <f aca="false">(B803-B802)/B802*100</f>
        <v>-1.47342538301494</v>
      </c>
    </row>
    <row r="804" customFormat="false" ht="15" hidden="false" customHeight="false" outlineLevel="0" collapsed="false">
      <c r="A804" s="6" t="s">
        <v>803</v>
      </c>
      <c r="B804" s="10" t="n">
        <v>5.2447</v>
      </c>
      <c r="C804" s="7" t="n">
        <f aca="false">(B804-B803)/B803*100</f>
        <v>0.683419400664215</v>
      </c>
    </row>
    <row r="805" customFormat="false" ht="15" hidden="false" customHeight="false" outlineLevel="0" collapsed="false">
      <c r="A805" s="6" t="s">
        <v>804</v>
      </c>
      <c r="B805" s="10" t="n">
        <v>5.2878</v>
      </c>
      <c r="C805" s="7" t="n">
        <f aca="false">(B805-B804)/B804*100</f>
        <v>0.821781989436954</v>
      </c>
    </row>
    <row r="806" customFormat="false" ht="15" hidden="false" customHeight="false" outlineLevel="0" collapsed="false">
      <c r="A806" s="6" t="s">
        <v>805</v>
      </c>
      <c r="B806" s="10" t="n">
        <v>5.2139</v>
      </c>
      <c r="C806" s="7" t="n">
        <f aca="false">(B806-B805)/B805*100</f>
        <v>-1.3975566398124</v>
      </c>
    </row>
    <row r="807" customFormat="false" ht="15" hidden="false" customHeight="false" outlineLevel="0" collapsed="false">
      <c r="A807" s="6" t="s">
        <v>806</v>
      </c>
      <c r="B807" s="10" t="n">
        <v>5.1622</v>
      </c>
      <c r="C807" s="7" t="n">
        <f aca="false">(B807-B806)/B806*100</f>
        <v>-0.991580199083209</v>
      </c>
    </row>
    <row r="808" customFormat="false" ht="15" hidden="false" customHeight="false" outlineLevel="0" collapsed="false">
      <c r="A808" s="6" t="s">
        <v>807</v>
      </c>
      <c r="B808" s="10" t="n">
        <v>5.1596</v>
      </c>
      <c r="C808" s="7" t="n">
        <f aca="false">(B808-B807)/B807*100</f>
        <v>-0.0503661229708294</v>
      </c>
    </row>
    <row r="809" customFormat="false" ht="15" hidden="false" customHeight="false" outlineLevel="0" collapsed="false">
      <c r="A809" s="6" t="s">
        <v>808</v>
      </c>
      <c r="B809" s="10" t="n">
        <v>5.2051</v>
      </c>
      <c r="C809" s="7" t="n">
        <f aca="false">(B809-B808)/B808*100</f>
        <v>0.881851306302807</v>
      </c>
    </row>
    <row r="810" customFormat="false" ht="15" hidden="false" customHeight="false" outlineLevel="0" collapsed="false">
      <c r="A810" s="6" t="s">
        <v>809</v>
      </c>
      <c r="B810" s="10" t="n">
        <v>5.2541</v>
      </c>
      <c r="C810" s="7" t="n">
        <f aca="false">(B810-B809)/B809*100</f>
        <v>0.941384411442631</v>
      </c>
    </row>
    <row r="811" customFormat="false" ht="15" hidden="false" customHeight="false" outlineLevel="0" collapsed="false">
      <c r="A811" s="6" t="s">
        <v>810</v>
      </c>
      <c r="B811" s="10" t="n">
        <v>5.2647</v>
      </c>
      <c r="C811" s="7" t="n">
        <f aca="false">(B811-B810)/B810*100</f>
        <v>0.201747206943152</v>
      </c>
    </row>
    <row r="812" customFormat="false" ht="15" hidden="false" customHeight="false" outlineLevel="0" collapsed="false">
      <c r="A812" s="6" t="s">
        <v>811</v>
      </c>
      <c r="B812" s="10" t="n">
        <v>5.2022</v>
      </c>
      <c r="C812" s="7" t="n">
        <f aca="false">(B812-B811)/B811*100</f>
        <v>-1.18715216441583</v>
      </c>
    </row>
    <row r="813" customFormat="false" ht="15" hidden="false" customHeight="false" outlineLevel="0" collapsed="false">
      <c r="A813" s="6" t="s">
        <v>812</v>
      </c>
      <c r="B813" s="10" t="n">
        <v>5.2112</v>
      </c>
      <c r="C813" s="7" t="n">
        <f aca="false">(B813-B812)/B812*100</f>
        <v>0.173003729191485</v>
      </c>
    </row>
    <row r="814" customFormat="false" ht="15" hidden="false" customHeight="false" outlineLevel="0" collapsed="false">
      <c r="A814" s="6" t="s">
        <v>813</v>
      </c>
      <c r="B814" s="10" t="n">
        <v>5.2587</v>
      </c>
      <c r="C814" s="7" t="n">
        <f aca="false">(B814-B813)/B813*100</f>
        <v>0.91149831132945</v>
      </c>
    </row>
    <row r="815" customFormat="false" ht="15" hidden="false" customHeight="false" outlineLevel="0" collapsed="false">
      <c r="A815" s="6" t="s">
        <v>814</v>
      </c>
      <c r="B815" s="10" t="n">
        <v>5.28</v>
      </c>
      <c r="C815" s="7" t="n">
        <f aca="false">(B815-B814)/B814*100</f>
        <v>0.405043071481547</v>
      </c>
    </row>
    <row r="816" customFormat="false" ht="15" hidden="false" customHeight="false" outlineLevel="0" collapsed="false">
      <c r="A816" s="6" t="s">
        <v>815</v>
      </c>
      <c r="B816" s="10" t="n">
        <v>5.244</v>
      </c>
      <c r="C816" s="7" t="n">
        <f aca="false">(B816-B815)/B815*100</f>
        <v>-0.681818181818191</v>
      </c>
    </row>
    <row r="817" customFormat="false" ht="15" hidden="false" customHeight="false" outlineLevel="0" collapsed="false">
      <c r="A817" s="6" t="s">
        <v>816</v>
      </c>
      <c r="B817" s="10" t="n">
        <v>5.2599</v>
      </c>
      <c r="C817" s="7" t="n">
        <f aca="false">(B817-B816)/B816*100</f>
        <v>0.303203661327236</v>
      </c>
    </row>
    <row r="818" customFormat="false" ht="15" hidden="false" customHeight="false" outlineLevel="0" collapsed="false">
      <c r="A818" s="6" t="s">
        <v>817</v>
      </c>
      <c r="B818" s="10" t="n">
        <v>5.2275</v>
      </c>
      <c r="C818" s="7" t="n">
        <f aca="false">(B818-B817)/B817*100</f>
        <v>-0.615981292420008</v>
      </c>
    </row>
    <row r="819" customFormat="false" ht="15" hidden="false" customHeight="false" outlineLevel="0" collapsed="false">
      <c r="A819" s="6" t="s">
        <v>818</v>
      </c>
      <c r="B819" s="10" t="n">
        <v>5.2308</v>
      </c>
      <c r="C819" s="7" t="n">
        <f aca="false">(B819-B818)/B818*100</f>
        <v>0.0631276901004362</v>
      </c>
    </row>
    <row r="820" customFormat="false" ht="15" hidden="false" customHeight="false" outlineLevel="0" collapsed="false">
      <c r="A820" s="6" t="s">
        <v>819</v>
      </c>
      <c r="B820" s="10" t="n">
        <v>5.2376</v>
      </c>
      <c r="C820" s="7" t="n">
        <f aca="false">(B820-B819)/B819*100</f>
        <v>0.129999235298602</v>
      </c>
    </row>
    <row r="821" customFormat="false" ht="15" hidden="false" customHeight="false" outlineLevel="0" collapsed="false">
      <c r="A821" s="6" t="s">
        <v>820</v>
      </c>
      <c r="B821" s="10" t="n">
        <v>5.2353</v>
      </c>
      <c r="C821" s="7" t="n">
        <f aca="false">(B821-B820)/B820*100</f>
        <v>-0.0439132427065826</v>
      </c>
    </row>
    <row r="822" customFormat="false" ht="15" hidden="false" customHeight="false" outlineLevel="0" collapsed="false">
      <c r="A822" s="6" t="s">
        <v>821</v>
      </c>
      <c r="B822" s="10" t="n">
        <v>5.2194</v>
      </c>
      <c r="C822" s="7" t="n">
        <f aca="false">(B822-B821)/B821*100</f>
        <v>-0.303707523924118</v>
      </c>
    </row>
    <row r="823" customFormat="false" ht="15" hidden="false" customHeight="false" outlineLevel="0" collapsed="false">
      <c r="A823" s="6" t="s">
        <v>822</v>
      </c>
      <c r="B823" s="10" t="n">
        <v>5.1606</v>
      </c>
      <c r="C823" s="7" t="n">
        <f aca="false">(B823-B822)/B822*100</f>
        <v>-1.1265662719853</v>
      </c>
    </row>
    <row r="824" customFormat="false" ht="15" hidden="false" customHeight="false" outlineLevel="0" collapsed="false">
      <c r="A824" s="6" t="s">
        <v>823</v>
      </c>
      <c r="B824" s="10" t="n">
        <v>5.1655</v>
      </c>
      <c r="C824" s="7" t="n">
        <f aca="false">(B824-B823)/B823*100</f>
        <v>0.0949501995891975</v>
      </c>
    </row>
    <row r="825" customFormat="false" ht="15" hidden="false" customHeight="false" outlineLevel="0" collapsed="false">
      <c r="A825" s="6" t="s">
        <v>824</v>
      </c>
      <c r="B825" s="10" t="n">
        <v>5.1532</v>
      </c>
      <c r="C825" s="7" t="n">
        <f aca="false">(B825-B824)/B824*100</f>
        <v>-0.238118284773977</v>
      </c>
    </row>
    <row r="826" customFormat="false" ht="15" hidden="false" customHeight="false" outlineLevel="0" collapsed="false">
      <c r="A826" s="6" t="s">
        <v>825</v>
      </c>
      <c r="B826" s="10" t="n">
        <v>5.1625</v>
      </c>
      <c r="C826" s="7" t="n">
        <f aca="false">(B826-B825)/B825*100</f>
        <v>0.180470387332136</v>
      </c>
    </row>
    <row r="827" customFormat="false" ht="15" hidden="false" customHeight="false" outlineLevel="0" collapsed="false">
      <c r="A827" s="6" t="s">
        <v>826</v>
      </c>
      <c r="B827" s="10" t="n">
        <v>5.0899</v>
      </c>
      <c r="C827" s="7" t="n">
        <f aca="false">(B827-B826)/B826*100</f>
        <v>-1.40629539951573</v>
      </c>
    </row>
    <row r="828" customFormat="false" ht="15" hidden="false" customHeight="false" outlineLevel="0" collapsed="false">
      <c r="A828" s="6" t="s">
        <v>827</v>
      </c>
      <c r="B828" s="10" t="n">
        <v>5.0821</v>
      </c>
      <c r="C828" s="7" t="n">
        <f aca="false">(B828-B827)/B827*100</f>
        <v>-0.153244660995314</v>
      </c>
    </row>
    <row r="829" customFormat="false" ht="15" hidden="false" customHeight="false" outlineLevel="0" collapsed="false">
      <c r="A829" s="6" t="s">
        <v>828</v>
      </c>
      <c r="B829" s="10" t="n">
        <v>5.0229</v>
      </c>
      <c r="C829" s="7" t="n">
        <f aca="false">(B829-B828)/B828*100</f>
        <v>-1.16487278880777</v>
      </c>
    </row>
    <row r="830" customFormat="false" ht="15" hidden="false" customHeight="false" outlineLevel="0" collapsed="false">
      <c r="A830" s="6" t="s">
        <v>829</v>
      </c>
      <c r="B830" s="10" t="n">
        <v>5.0244</v>
      </c>
      <c r="C830" s="7" t="n">
        <f aca="false">(B830-B829)/B829*100</f>
        <v>0.0298632264229839</v>
      </c>
    </row>
    <row r="831" customFormat="false" ht="15" hidden="false" customHeight="false" outlineLevel="0" collapsed="false">
      <c r="A831" s="6" t="s">
        <v>830</v>
      </c>
      <c r="B831" s="10" t="n">
        <v>4.9806</v>
      </c>
      <c r="C831" s="7" t="n">
        <f aca="false">(B831-B830)/B830*100</f>
        <v>-0.871745880105089</v>
      </c>
    </row>
    <row r="832" customFormat="false" ht="15" hidden="false" customHeight="false" outlineLevel="0" collapsed="false">
      <c r="A832" s="6" t="s">
        <v>831</v>
      </c>
      <c r="B832" s="10" t="n">
        <v>4.9928</v>
      </c>
      <c r="C832" s="7" t="n">
        <f aca="false">(B832-B831)/B831*100</f>
        <v>0.244950407581416</v>
      </c>
    </row>
    <row r="833" customFormat="false" ht="15" hidden="false" customHeight="false" outlineLevel="0" collapsed="false">
      <c r="A833" s="6" t="s">
        <v>832</v>
      </c>
      <c r="B833" s="10" t="n">
        <v>5.0007</v>
      </c>
      <c r="C833" s="7" t="n">
        <f aca="false">(B833-B832)/B832*100</f>
        <v>0.158227848101271</v>
      </c>
    </row>
    <row r="834" customFormat="false" ht="15" hidden="false" customHeight="false" outlineLevel="0" collapsed="false">
      <c r="A834" s="6" t="s">
        <v>833</v>
      </c>
      <c r="B834" s="10" t="n">
        <v>4.9695</v>
      </c>
      <c r="C834" s="7" t="n">
        <f aca="false">(B834-B833)/B833*100</f>
        <v>-0.62391265222869</v>
      </c>
    </row>
    <row r="835" customFormat="false" ht="15" hidden="false" customHeight="false" outlineLevel="0" collapsed="false">
      <c r="A835" s="6" t="s">
        <v>834</v>
      </c>
      <c r="B835" s="10" t="n">
        <v>4.9844</v>
      </c>
      <c r="C835" s="7" t="n">
        <f aca="false">(B835-B834)/B834*100</f>
        <v>0.299828956635475</v>
      </c>
    </row>
    <row r="836" customFormat="false" ht="15" hidden="false" customHeight="false" outlineLevel="0" collapsed="false">
      <c r="A836" s="6" t="s">
        <v>835</v>
      </c>
      <c r="B836" s="10" t="n">
        <v>4.9653</v>
      </c>
      <c r="C836" s="7" t="n">
        <f aca="false">(B836-B835)/B835*100</f>
        <v>-0.383195570178956</v>
      </c>
    </row>
    <row r="837" customFormat="false" ht="15" hidden="false" customHeight="false" outlineLevel="0" collapsed="false">
      <c r="A837" s="6" t="s">
        <v>836</v>
      </c>
      <c r="B837" s="10" t="n">
        <v>4.9539</v>
      </c>
      <c r="C837" s="7" t="n">
        <f aca="false">(B837-B836)/B836*100</f>
        <v>-0.229593378043624</v>
      </c>
    </row>
    <row r="838" customFormat="false" ht="15" hidden="false" customHeight="false" outlineLevel="0" collapsed="false">
      <c r="A838" s="6" t="s">
        <v>837</v>
      </c>
      <c r="B838" s="10" t="n">
        <v>5.0083</v>
      </c>
      <c r="C838" s="7" t="n">
        <f aca="false">(B838-B837)/B837*100</f>
        <v>1.09812470982459</v>
      </c>
    </row>
    <row r="839" customFormat="false" ht="15" hidden="false" customHeight="false" outlineLevel="0" collapsed="false">
      <c r="A839" s="6" t="s">
        <v>838</v>
      </c>
      <c r="B839" s="10" t="n">
        <v>4.97</v>
      </c>
      <c r="C839" s="7" t="n">
        <f aca="false">(B839-B838)/B838*100</f>
        <v>-0.764730547291505</v>
      </c>
    </row>
    <row r="840" customFormat="false" ht="15" hidden="false" customHeight="false" outlineLevel="0" collapsed="false">
      <c r="A840" s="6" t="s">
        <v>839</v>
      </c>
      <c r="B840" s="10" t="n">
        <v>4.9878</v>
      </c>
      <c r="C840" s="7" t="n">
        <f aca="false">(B840-B839)/B839*100</f>
        <v>0.358148893360166</v>
      </c>
    </row>
    <row r="841" customFormat="false" ht="15" hidden="false" customHeight="false" outlineLevel="0" collapsed="false">
      <c r="A841" s="6" t="s">
        <v>840</v>
      </c>
      <c r="B841" s="10" t="n">
        <v>4.9985</v>
      </c>
      <c r="C841" s="7" t="n">
        <f aca="false">(B841-B840)/B840*100</f>
        <v>0.214523437186734</v>
      </c>
    </row>
    <row r="842" customFormat="false" ht="15" hidden="false" customHeight="false" outlineLevel="0" collapsed="false">
      <c r="A842" s="6" t="s">
        <v>841</v>
      </c>
      <c r="B842" s="10" t="n">
        <v>4.9886</v>
      </c>
      <c r="C842" s="7" t="n">
        <f aca="false">(B842-B841)/B841*100</f>
        <v>-0.198059417825348</v>
      </c>
    </row>
    <row r="843" customFormat="false" ht="15" hidden="false" customHeight="false" outlineLevel="0" collapsed="false">
      <c r="A843" s="6" t="s">
        <v>842</v>
      </c>
      <c r="B843" s="10" t="n">
        <v>4.9587</v>
      </c>
      <c r="C843" s="7" t="n">
        <f aca="false">(B843-B842)/B842*100</f>
        <v>-0.599366555747095</v>
      </c>
    </row>
    <row r="844" customFormat="false" ht="15" hidden="false" customHeight="false" outlineLevel="0" collapsed="false">
      <c r="A844" s="6" t="s">
        <v>843</v>
      </c>
      <c r="B844" s="10" t="n">
        <v>4.9242</v>
      </c>
      <c r="C844" s="7" t="n">
        <f aca="false">(B844-B843)/B843*100</f>
        <v>-0.695746869139097</v>
      </c>
    </row>
    <row r="845" customFormat="false" ht="15" hidden="false" customHeight="false" outlineLevel="0" collapsed="false">
      <c r="A845" s="6" t="s">
        <v>844</v>
      </c>
      <c r="B845" s="10" t="n">
        <v>4.9274</v>
      </c>
      <c r="C845" s="7" t="n">
        <f aca="false">(B845-B844)/B844*100</f>
        <v>0.0649851752568874</v>
      </c>
    </row>
    <row r="846" customFormat="false" ht="15" hidden="false" customHeight="false" outlineLevel="0" collapsed="false">
      <c r="A846" s="6" t="s">
        <v>845</v>
      </c>
      <c r="B846" s="10" t="n">
        <v>4.917</v>
      </c>
      <c r="C846" s="7" t="n">
        <f aca="false">(B846-B845)/B845*100</f>
        <v>-0.211064658846445</v>
      </c>
    </row>
    <row r="847" customFormat="false" ht="15" hidden="false" customHeight="false" outlineLevel="0" collapsed="false">
      <c r="A847" s="6" t="s">
        <v>846</v>
      </c>
      <c r="B847" s="10" t="n">
        <v>4.8999</v>
      </c>
      <c r="C847" s="7" t="n">
        <f aca="false">(B847-B846)/B846*100</f>
        <v>-0.347773032336793</v>
      </c>
    </row>
    <row r="848" customFormat="false" ht="15" hidden="false" customHeight="false" outlineLevel="0" collapsed="false">
      <c r="A848" s="6" t="s">
        <v>847</v>
      </c>
      <c r="B848" s="10" t="n">
        <v>4.8973</v>
      </c>
      <c r="C848" s="7" t="n">
        <f aca="false">(B848-B847)/B847*100</f>
        <v>-0.0530623073940135</v>
      </c>
    </row>
    <row r="849" customFormat="false" ht="15" hidden="false" customHeight="false" outlineLevel="0" collapsed="false">
      <c r="A849" s="6" t="s">
        <v>848</v>
      </c>
      <c r="B849" s="10" t="n">
        <v>4.8977</v>
      </c>
      <c r="C849" s="7" t="n">
        <f aca="false">(B849-B848)/B848*100</f>
        <v>0.00816776591182807</v>
      </c>
    </row>
    <row r="850" customFormat="false" ht="15" hidden="false" customHeight="false" outlineLevel="0" collapsed="false">
      <c r="A850" s="6" t="s">
        <v>849</v>
      </c>
      <c r="B850" s="10" t="n">
        <v>4.9118</v>
      </c>
      <c r="C850" s="7" t="n">
        <f aca="false">(B850-B849)/B849*100</f>
        <v>0.287890234191559</v>
      </c>
    </row>
    <row r="851" customFormat="false" ht="15" hidden="false" customHeight="false" outlineLevel="0" collapsed="false">
      <c r="A851" s="6" t="s">
        <v>850</v>
      </c>
      <c r="B851" s="10" t="n">
        <v>4.9809</v>
      </c>
      <c r="C851" s="7" t="n">
        <f aca="false">(B851-B850)/B850*100</f>
        <v>1.40681623844619</v>
      </c>
    </row>
    <row r="852" customFormat="false" ht="15" hidden="false" customHeight="false" outlineLevel="0" collapsed="false">
      <c r="A852" s="6" t="s">
        <v>851</v>
      </c>
      <c r="B852" s="10" t="n">
        <v>5.0654</v>
      </c>
      <c r="C852" s="7" t="n">
        <f aca="false">(B852-B851)/B851*100</f>
        <v>1.69648055572287</v>
      </c>
    </row>
    <row r="853" customFormat="false" ht="15" hidden="false" customHeight="false" outlineLevel="0" collapsed="false">
      <c r="A853" s="6" t="s">
        <v>852</v>
      </c>
      <c r="B853" s="10" t="n">
        <v>5.0093</v>
      </c>
      <c r="C853" s="7" t="n">
        <f aca="false">(B853-B852)/B852*100</f>
        <v>-1.10751372053541</v>
      </c>
    </row>
    <row r="854" customFormat="false" ht="15" hidden="false" customHeight="false" outlineLevel="0" collapsed="false">
      <c r="A854" s="6" t="s">
        <v>853</v>
      </c>
      <c r="B854" s="10" t="n">
        <v>5.0378</v>
      </c>
      <c r="C854" s="7" t="n">
        <f aca="false">(B854-B853)/B853*100</f>
        <v>0.568941768310946</v>
      </c>
    </row>
    <row r="855" customFormat="false" ht="15" hidden="false" customHeight="false" outlineLevel="0" collapsed="false">
      <c r="A855" s="6" t="s">
        <v>854</v>
      </c>
      <c r="B855" s="10" t="n">
        <v>5.0301</v>
      </c>
      <c r="C855" s="7" t="n">
        <f aca="false">(B855-B854)/B854*100</f>
        <v>-0.152844495613161</v>
      </c>
    </row>
    <row r="856" customFormat="false" ht="15" hidden="false" customHeight="false" outlineLevel="0" collapsed="false">
      <c r="A856" s="6" t="s">
        <v>855</v>
      </c>
      <c r="B856" s="10" t="n">
        <v>5.0077</v>
      </c>
      <c r="C856" s="7" t="n">
        <f aca="false">(B856-B855)/B855*100</f>
        <v>-0.445319178545162</v>
      </c>
    </row>
    <row r="857" customFormat="false" ht="15" hidden="false" customHeight="false" outlineLevel="0" collapsed="false">
      <c r="A857" s="6" t="s">
        <v>856</v>
      </c>
      <c r="B857" s="10" t="n">
        <v>5.014</v>
      </c>
      <c r="C857" s="7" t="n">
        <f aca="false">(B857-B856)/B856*100</f>
        <v>0.125806258362131</v>
      </c>
    </row>
    <row r="858" customFormat="false" ht="15" hidden="false" customHeight="false" outlineLevel="0" collapsed="false">
      <c r="A858" s="6" t="s">
        <v>857</v>
      </c>
      <c r="B858" s="10" t="n">
        <v>5.0072</v>
      </c>
      <c r="C858" s="7" t="n">
        <f aca="false">(B858-B857)/B857*100</f>
        <v>-0.135620263262867</v>
      </c>
    </row>
    <row r="859" customFormat="false" ht="15" hidden="false" customHeight="false" outlineLevel="0" collapsed="false">
      <c r="A859" s="6" t="s">
        <v>858</v>
      </c>
      <c r="B859" s="10" t="n">
        <v>5.0211</v>
      </c>
      <c r="C859" s="7" t="n">
        <f aca="false">(B859-B858)/B858*100</f>
        <v>0.277600255631882</v>
      </c>
    </row>
    <row r="860" customFormat="false" ht="15" hidden="false" customHeight="false" outlineLevel="0" collapsed="false">
      <c r="A860" s="6" t="s">
        <v>859</v>
      </c>
      <c r="B860" s="10" t="n">
        <v>5.0579</v>
      </c>
      <c r="C860" s="7" t="n">
        <f aca="false">(B860-B859)/B859*100</f>
        <v>0.732907131903376</v>
      </c>
    </row>
    <row r="861" customFormat="false" ht="15" hidden="false" customHeight="false" outlineLevel="0" collapsed="false">
      <c r="A861" s="6" t="s">
        <v>860</v>
      </c>
      <c r="B861" s="10" t="n">
        <v>5.0517</v>
      </c>
      <c r="C861" s="7" t="n">
        <f aca="false">(B861-B860)/B860*100</f>
        <v>-0.122580517606116</v>
      </c>
    </row>
    <row r="862" customFormat="false" ht="15" hidden="false" customHeight="false" outlineLevel="0" collapsed="false">
      <c r="A862" s="6" t="s">
        <v>861</v>
      </c>
      <c r="B862" s="10" t="n">
        <v>5.0569</v>
      </c>
      <c r="C862" s="7" t="n">
        <f aca="false">(B862-B861)/B861*100</f>
        <v>0.102935645426281</v>
      </c>
    </row>
    <row r="863" customFormat="false" ht="15" hidden="false" customHeight="false" outlineLevel="0" collapsed="false">
      <c r="A863" s="6" t="s">
        <v>862</v>
      </c>
      <c r="B863" s="10" t="n">
        <v>5.0303</v>
      </c>
      <c r="C863" s="7" t="n">
        <f aca="false">(B863-B862)/B862*100</f>
        <v>-0.526013961122413</v>
      </c>
    </row>
    <row r="864" customFormat="false" ht="15" hidden="false" customHeight="false" outlineLevel="0" collapsed="false">
      <c r="A864" s="6" t="s">
        <v>863</v>
      </c>
      <c r="B864" s="10" t="n">
        <v>5.016</v>
      </c>
      <c r="C864" s="7" t="n">
        <f aca="false">(B864-B863)/B863*100</f>
        <v>-0.284277279685117</v>
      </c>
    </row>
    <row r="865" customFormat="false" ht="15" hidden="false" customHeight="false" outlineLevel="0" collapsed="false">
      <c r="A865" s="6" t="s">
        <v>864</v>
      </c>
      <c r="B865" s="10" t="n">
        <v>5.0415</v>
      </c>
      <c r="C865" s="7" t="n">
        <f aca="false">(B865-B864)/B864*100</f>
        <v>0.508373205741628</v>
      </c>
    </row>
    <row r="866" customFormat="false" ht="15" hidden="false" customHeight="false" outlineLevel="0" collapsed="false">
      <c r="A866" s="6" t="s">
        <v>865</v>
      </c>
      <c r="B866" s="10" t="n">
        <v>5.1244</v>
      </c>
      <c r="C866" s="7" t="n">
        <f aca="false">(B866-B865)/B865*100</f>
        <v>1.64435187940096</v>
      </c>
    </row>
    <row r="867" customFormat="false" ht="15" hidden="false" customHeight="false" outlineLevel="0" collapsed="false">
      <c r="A867" s="6" t="s">
        <v>866</v>
      </c>
      <c r="B867" s="10" t="n">
        <v>5.1695</v>
      </c>
      <c r="C867" s="7" t="n">
        <f aca="false">(B867-B866)/B866*100</f>
        <v>0.88010303645306</v>
      </c>
    </row>
    <row r="868" customFormat="false" ht="15" hidden="false" customHeight="false" outlineLevel="0" collapsed="false">
      <c r="A868" s="6" t="s">
        <v>867</v>
      </c>
      <c r="B868" s="10" t="n">
        <v>5.1693</v>
      </c>
      <c r="C868" s="7" t="n">
        <f aca="false">(B868-B867)/B867*100</f>
        <v>-0.00386884611665387</v>
      </c>
    </row>
    <row r="869" customFormat="false" ht="15" hidden="false" customHeight="false" outlineLevel="0" collapsed="false">
      <c r="A869" s="6" t="s">
        <v>868</v>
      </c>
      <c r="B869" s="10" t="n">
        <v>5.1763</v>
      </c>
      <c r="C869" s="7" t="n">
        <f aca="false">(B869-B868)/B868*100</f>
        <v>0.135414853074895</v>
      </c>
    </row>
    <row r="870" customFormat="false" ht="15" hidden="false" customHeight="false" outlineLevel="0" collapsed="false">
      <c r="A870" s="6" t="s">
        <v>869</v>
      </c>
      <c r="B870" s="10" t="n">
        <v>5.1478</v>
      </c>
      <c r="C870" s="7" t="n">
        <f aca="false">(B870-B869)/B869*100</f>
        <v>-0.550586326140297</v>
      </c>
    </row>
    <row r="871" customFormat="false" ht="15" hidden="false" customHeight="false" outlineLevel="0" collapsed="false">
      <c r="A871" s="6" t="s">
        <v>870</v>
      </c>
      <c r="B871" s="10" t="n">
        <v>5.0827</v>
      </c>
      <c r="C871" s="7" t="n">
        <f aca="false">(B871-B870)/B870*100</f>
        <v>-1.26461789502312</v>
      </c>
    </row>
    <row r="872" customFormat="false" ht="15" hidden="false" customHeight="false" outlineLevel="0" collapsed="false">
      <c r="A872" s="6" t="s">
        <v>871</v>
      </c>
      <c r="B872" s="10" t="n">
        <v>5.043</v>
      </c>
      <c r="C872" s="7" t="n">
        <f aca="false">(B872-B871)/B871*100</f>
        <v>-0.781080921557437</v>
      </c>
    </row>
    <row r="873" customFormat="false" ht="15" hidden="false" customHeight="false" outlineLevel="0" collapsed="false">
      <c r="A873" s="6" t="s">
        <v>872</v>
      </c>
      <c r="B873" s="10" t="n">
        <v>5.078</v>
      </c>
      <c r="C873" s="7" t="n">
        <f aca="false">(B873-B872)/B872*100</f>
        <v>0.694031330557211</v>
      </c>
    </row>
    <row r="874" customFormat="false" ht="15" hidden="false" customHeight="false" outlineLevel="0" collapsed="false">
      <c r="A874" s="6" t="s">
        <v>873</v>
      </c>
      <c r="B874" s="10" t="n">
        <v>5.0641</v>
      </c>
      <c r="C874" s="7" t="n">
        <f aca="false">(B874-B873)/B873*100</f>
        <v>-0.27372981488776</v>
      </c>
    </row>
    <row r="875" customFormat="false" ht="15" hidden="false" customHeight="false" outlineLevel="0" collapsed="false">
      <c r="A875" s="6" t="s">
        <v>874</v>
      </c>
      <c r="B875" s="10" t="n">
        <v>5.1613</v>
      </c>
      <c r="C875" s="7" t="n">
        <f aca="false">(B875-B874)/B874*100</f>
        <v>1.91939337690804</v>
      </c>
    </row>
    <row r="876" customFormat="false" ht="15" hidden="false" customHeight="false" outlineLevel="0" collapsed="false">
      <c r="A876" s="6" t="s">
        <v>875</v>
      </c>
      <c r="B876" s="10" t="n">
        <v>5.1442</v>
      </c>
      <c r="C876" s="7" t="n">
        <f aca="false">(B876-B875)/B875*100</f>
        <v>-0.33131187879023</v>
      </c>
    </row>
    <row r="877" customFormat="false" ht="15" hidden="false" customHeight="false" outlineLevel="0" collapsed="false">
      <c r="A877" s="6" t="s">
        <v>876</v>
      </c>
      <c r="B877" s="10" t="n">
        <v>5.1395</v>
      </c>
      <c r="C877" s="7" t="n">
        <f aca="false">(B877-B876)/B876*100</f>
        <v>-0.0913650324637398</v>
      </c>
    </row>
    <row r="878" customFormat="false" ht="15" hidden="false" customHeight="false" outlineLevel="0" collapsed="false">
      <c r="A878" s="6" t="s">
        <v>877</v>
      </c>
      <c r="B878" s="10" t="n">
        <v>5.1743</v>
      </c>
      <c r="C878" s="7" t="n">
        <f aca="false">(B878-B877)/B877*100</f>
        <v>0.677108668158376</v>
      </c>
    </row>
    <row r="879" customFormat="false" ht="15" hidden="false" customHeight="false" outlineLevel="0" collapsed="false">
      <c r="A879" s="6" t="s">
        <v>878</v>
      </c>
      <c r="B879" s="10" t="n">
        <v>5.2098</v>
      </c>
      <c r="C879" s="7" t="n">
        <f aca="false">(B879-B878)/B878*100</f>
        <v>0.686083141681015</v>
      </c>
    </row>
    <row r="880" customFormat="false" ht="15" hidden="false" customHeight="false" outlineLevel="0" collapsed="false">
      <c r="A880" s="6" t="s">
        <v>879</v>
      </c>
      <c r="B880" s="10" t="n">
        <v>5.1892</v>
      </c>
      <c r="C880" s="7" t="n">
        <f aca="false">(B880-B879)/B879*100</f>
        <v>-0.395408652923353</v>
      </c>
    </row>
    <row r="881" customFormat="false" ht="15" hidden="false" customHeight="false" outlineLevel="0" collapsed="false">
      <c r="A881" s="6" t="s">
        <v>880</v>
      </c>
      <c r="B881" s="10" t="n">
        <v>5.1695</v>
      </c>
      <c r="C881" s="7" t="n">
        <f aca="false">(B881-B880)/B880*100</f>
        <v>-0.379634625761185</v>
      </c>
    </row>
    <row r="882" customFormat="false" ht="15" hidden="false" customHeight="false" outlineLevel="0" collapsed="false">
      <c r="A882" s="6" t="s">
        <v>881</v>
      </c>
      <c r="B882" s="10" t="n">
        <v>5.1717</v>
      </c>
      <c r="C882" s="7" t="n">
        <f aca="false">(B882-B881)/B881*100</f>
        <v>0.0425573072831067</v>
      </c>
    </row>
    <row r="883" customFormat="false" ht="15" hidden="false" customHeight="false" outlineLevel="0" collapsed="false">
      <c r="A883" s="6" t="s">
        <v>882</v>
      </c>
      <c r="B883" s="10" t="n">
        <v>5.1766</v>
      </c>
      <c r="C883" s="7" t="n">
        <f aca="false">(B883-B882)/B882*100</f>
        <v>0.0947464083376692</v>
      </c>
    </row>
    <row r="884" customFormat="false" ht="15" hidden="false" customHeight="false" outlineLevel="0" collapsed="false">
      <c r="A884" s="6" t="s">
        <v>883</v>
      </c>
      <c r="B884" s="10" t="n">
        <v>5.195</v>
      </c>
      <c r="C884" s="7" t="n">
        <f aca="false">(B884-B883)/B883*100</f>
        <v>0.355445659313075</v>
      </c>
    </row>
    <row r="885" customFormat="false" ht="15" hidden="false" customHeight="false" outlineLevel="0" collapsed="false">
      <c r="A885" s="6" t="s">
        <v>884</v>
      </c>
      <c r="B885" s="10" t="n">
        <v>5.1945</v>
      </c>
      <c r="C885" s="7" t="n">
        <f aca="false">(B885-B884)/B884*100</f>
        <v>-0.00962463907604641</v>
      </c>
    </row>
    <row r="886" customFormat="false" ht="15" hidden="false" customHeight="false" outlineLevel="0" collapsed="false">
      <c r="A886" s="6" t="s">
        <v>885</v>
      </c>
      <c r="B886" s="10" t="n">
        <v>5.1717</v>
      </c>
      <c r="C886" s="7" t="n">
        <f aca="false">(B886-B885)/B885*100</f>
        <v>-0.438925786889966</v>
      </c>
    </row>
    <row r="887" customFormat="false" ht="15" hidden="false" customHeight="false" outlineLevel="0" collapsed="false">
      <c r="A887" s="6" t="s">
        <v>886</v>
      </c>
      <c r="B887" s="10" t="n">
        <v>5.167</v>
      </c>
      <c r="C887" s="7" t="n">
        <f aca="false">(B887-B886)/B886*100</f>
        <v>-0.0908792079973818</v>
      </c>
    </row>
    <row r="888" customFormat="false" ht="15" hidden="false" customHeight="false" outlineLevel="0" collapsed="false">
      <c r="A888" s="6" t="s">
        <v>887</v>
      </c>
      <c r="B888" s="10" t="n">
        <v>5.1458</v>
      </c>
      <c r="C888" s="7" t="n">
        <f aca="false">(B888-B887)/B887*100</f>
        <v>-0.410296109928381</v>
      </c>
    </row>
    <row r="889" customFormat="false" ht="15" hidden="false" customHeight="false" outlineLevel="0" collapsed="false">
      <c r="A889" s="6" t="s">
        <v>888</v>
      </c>
      <c r="B889" s="10" t="n">
        <v>5.1552</v>
      </c>
      <c r="C889" s="7" t="n">
        <f aca="false">(B889-B888)/B888*100</f>
        <v>0.182673248085806</v>
      </c>
    </row>
    <row r="890" customFormat="false" ht="15" hidden="false" customHeight="false" outlineLevel="0" collapsed="false">
      <c r="A890" s="6" t="s">
        <v>889</v>
      </c>
      <c r="B890" s="10" t="n">
        <v>5.1329</v>
      </c>
      <c r="C890" s="7" t="n">
        <f aca="false">(B890-B889)/B889*100</f>
        <v>-0.432572936064547</v>
      </c>
    </row>
    <row r="891" customFormat="false" ht="15" hidden="false" customHeight="false" outlineLevel="0" collapsed="false">
      <c r="A891" s="6" t="s">
        <v>890</v>
      </c>
      <c r="B891" s="10" t="n">
        <v>5.1088</v>
      </c>
      <c r="C891" s="7" t="n">
        <f aca="false">(B891-B890)/B890*100</f>
        <v>-0.469520154298753</v>
      </c>
    </row>
    <row r="892" customFormat="false" ht="15" hidden="false" customHeight="false" outlineLevel="0" collapsed="false">
      <c r="A892" s="6" t="s">
        <v>891</v>
      </c>
      <c r="B892" s="10" t="n">
        <v>5.1183</v>
      </c>
      <c r="C892" s="7" t="n">
        <f aca="false">(B892-B891)/B891*100</f>
        <v>0.185953648606328</v>
      </c>
    </row>
    <row r="893" customFormat="false" ht="15" hidden="false" customHeight="false" outlineLevel="0" collapsed="false">
      <c r="A893" s="6" t="s">
        <v>892</v>
      </c>
      <c r="B893" s="10" t="n">
        <v>5.0742</v>
      </c>
      <c r="C893" s="7" t="n">
        <f aca="false">(B893-B892)/B892*100</f>
        <v>-0.861614207842435</v>
      </c>
    </row>
    <row r="894" customFormat="false" ht="15" hidden="false" customHeight="false" outlineLevel="0" collapsed="false">
      <c r="A894" s="6" t="s">
        <v>893</v>
      </c>
      <c r="B894" s="10" t="n">
        <v>5.0727</v>
      </c>
      <c r="C894" s="7" t="n">
        <f aca="false">(B894-B893)/B893*100</f>
        <v>-0.0295613101572673</v>
      </c>
    </row>
    <row r="895" customFormat="false" ht="15" hidden="false" customHeight="false" outlineLevel="0" collapsed="false">
      <c r="A895" s="6" t="s">
        <v>894</v>
      </c>
      <c r="B895" s="10" t="n">
        <v>5.0975</v>
      </c>
      <c r="C895" s="7" t="n">
        <f aca="false">(B895-B894)/B894*100</f>
        <v>0.488891517337906</v>
      </c>
    </row>
    <row r="896" customFormat="false" ht="15" hidden="false" customHeight="false" outlineLevel="0" collapsed="false">
      <c r="A896" s="6" t="s">
        <v>895</v>
      </c>
      <c r="B896" s="10" t="n">
        <v>5.1176</v>
      </c>
      <c r="C896" s="7" t="n">
        <f aca="false">(B896-B895)/B895*100</f>
        <v>0.394310936733697</v>
      </c>
    </row>
    <row r="897" customFormat="false" ht="15" hidden="false" customHeight="false" outlineLevel="0" collapsed="false">
      <c r="A897" s="6" t="s">
        <v>896</v>
      </c>
      <c r="B897" s="10" t="n">
        <v>5.0894</v>
      </c>
      <c r="C897" s="7" t="n">
        <f aca="false">(B897-B896)/B896*100</f>
        <v>-0.551039549788964</v>
      </c>
    </row>
    <row r="898" customFormat="false" ht="15" hidden="false" customHeight="false" outlineLevel="0" collapsed="false">
      <c r="A898" s="6" t="s">
        <v>897</v>
      </c>
      <c r="B898" s="10" t="n">
        <v>5.078</v>
      </c>
      <c r="C898" s="7" t="n">
        <f aca="false">(B898-B897)/B897*100</f>
        <v>-0.223994969937519</v>
      </c>
    </row>
    <row r="899" customFormat="false" ht="15" hidden="false" customHeight="false" outlineLevel="0" collapsed="false">
      <c r="A899" s="6" t="s">
        <v>898</v>
      </c>
      <c r="B899" s="10" t="n">
        <v>5.0638</v>
      </c>
      <c r="C899" s="7" t="n">
        <f aca="false">(B899-B898)/B898*100</f>
        <v>-0.279637652619154</v>
      </c>
    </row>
    <row r="900" customFormat="false" ht="15" hidden="false" customHeight="false" outlineLevel="0" collapsed="false">
      <c r="A900" s="6" t="s">
        <v>899</v>
      </c>
      <c r="B900" s="10" t="n">
        <v>5.0807</v>
      </c>
      <c r="C900" s="7" t="n">
        <f aca="false">(B900-B899)/B899*100</f>
        <v>0.333741458983384</v>
      </c>
    </row>
    <row r="901" customFormat="false" ht="15" hidden="false" customHeight="false" outlineLevel="0" collapsed="false">
      <c r="A901" s="6" t="s">
        <v>900</v>
      </c>
      <c r="B901" s="10" t="n">
        <v>5.0666</v>
      </c>
      <c r="C901" s="7" t="n">
        <f aca="false">(B901-B900)/B900*100</f>
        <v>-0.277520814061055</v>
      </c>
    </row>
    <row r="902" customFormat="false" ht="15" hidden="false" customHeight="false" outlineLevel="0" collapsed="false">
      <c r="A902" s="6" t="s">
        <v>901</v>
      </c>
      <c r="B902" s="10" t="n">
        <v>5.1005</v>
      </c>
      <c r="C902" s="7" t="n">
        <f aca="false">(B902-B901)/B901*100</f>
        <v>0.669087751154621</v>
      </c>
    </row>
    <row r="903" customFormat="false" ht="15" hidden="false" customHeight="false" outlineLevel="0" collapsed="false">
      <c r="A903" s="6" t="s">
        <v>902</v>
      </c>
      <c r="B903" s="10" t="n">
        <v>5.1177</v>
      </c>
      <c r="C903" s="7" t="n">
        <f aca="false">(B903-B902)/B902*100</f>
        <v>0.337221840995978</v>
      </c>
    </row>
    <row r="904" customFormat="false" ht="15" hidden="false" customHeight="false" outlineLevel="0" collapsed="false">
      <c r="A904" s="6" t="s">
        <v>903</v>
      </c>
      <c r="B904" s="10" t="n">
        <v>5.1217</v>
      </c>
      <c r="C904" s="7" t="n">
        <f aca="false">(B904-B903)/B903*100</f>
        <v>0.078160110987349</v>
      </c>
    </row>
    <row r="905" customFormat="false" ht="15" hidden="false" customHeight="false" outlineLevel="0" collapsed="false">
      <c r="A905" s="6" t="s">
        <v>904</v>
      </c>
      <c r="B905" s="10" t="n">
        <v>5.0739</v>
      </c>
      <c r="C905" s="7" t="n">
        <f aca="false">(B905-B904)/B904*100</f>
        <v>-0.933283870589836</v>
      </c>
    </row>
    <row r="906" customFormat="false" ht="15" hidden="false" customHeight="false" outlineLevel="0" collapsed="false">
      <c r="A906" s="6" t="s">
        <v>905</v>
      </c>
      <c r="B906" s="10" t="n">
        <v>5.0773</v>
      </c>
      <c r="C906" s="7" t="n">
        <f aca="false">(B906-B905)/B905*100</f>
        <v>0.0670095981394996</v>
      </c>
    </row>
    <row r="907" customFormat="false" ht="15" hidden="false" customHeight="false" outlineLevel="0" collapsed="false">
      <c r="A907" s="6" t="s">
        <v>906</v>
      </c>
      <c r="B907" s="10" t="n">
        <v>5.0723</v>
      </c>
      <c r="C907" s="7" t="n">
        <f aca="false">(B907-B906)/B906*100</f>
        <v>-0.0984775372737458</v>
      </c>
    </row>
    <row r="908" customFormat="false" ht="15" hidden="false" customHeight="false" outlineLevel="0" collapsed="false">
      <c r="A908" s="6" t="s">
        <v>907</v>
      </c>
      <c r="B908" s="10" t="n">
        <v>5.1053</v>
      </c>
      <c r="C908" s="7" t="n">
        <f aca="false">(B908-B907)/B907*100</f>
        <v>0.65059243341284</v>
      </c>
    </row>
    <row r="909" customFormat="false" ht="15" hidden="false" customHeight="false" outlineLevel="0" collapsed="false">
      <c r="A909" s="6" t="s">
        <v>908</v>
      </c>
      <c r="B909" s="10" t="n">
        <v>5.1154</v>
      </c>
      <c r="C909" s="7" t="n">
        <f aca="false">(B909-B908)/B908*100</f>
        <v>0.197833623881073</v>
      </c>
    </row>
    <row r="910" customFormat="false" ht="15" hidden="false" customHeight="false" outlineLevel="0" collapsed="false">
      <c r="A910" s="6" t="s">
        <v>909</v>
      </c>
      <c r="B910" s="10" t="n">
        <v>5.1017</v>
      </c>
      <c r="C910" s="7" t="n">
        <f aca="false">(B910-B909)/B909*100</f>
        <v>-0.267818743402276</v>
      </c>
    </row>
    <row r="911" customFormat="false" ht="15" hidden="false" customHeight="false" outlineLevel="0" collapsed="false">
      <c r="A911" s="6" t="s">
        <v>910</v>
      </c>
      <c r="B911" s="10" t="n">
        <v>5.0908</v>
      </c>
      <c r="C911" s="7" t="n">
        <f aca="false">(B911-B910)/B910*100</f>
        <v>-0.213654272105384</v>
      </c>
    </row>
    <row r="912" customFormat="false" ht="15" hidden="false" customHeight="false" outlineLevel="0" collapsed="false">
      <c r="A912" s="6" t="s">
        <v>911</v>
      </c>
      <c r="B912" s="10" t="n">
        <v>5.0963</v>
      </c>
      <c r="C912" s="7" t="n">
        <f aca="false">(B912-B911)/B911*100</f>
        <v>0.108038029386354</v>
      </c>
    </row>
    <row r="913" customFormat="false" ht="15" hidden="false" customHeight="false" outlineLevel="0" collapsed="false">
      <c r="A913" s="6" t="s">
        <v>912</v>
      </c>
      <c r="B913" s="10" t="n">
        <v>5.1285</v>
      </c>
      <c r="C913" s="7" t="n">
        <f aca="false">(B913-B912)/B912*100</f>
        <v>0.631830936169369</v>
      </c>
    </row>
    <row r="914" customFormat="false" ht="15" hidden="false" customHeight="false" outlineLevel="0" collapsed="false">
      <c r="A914" s="6" t="s">
        <v>913</v>
      </c>
      <c r="B914" s="10" t="n">
        <v>5.1639</v>
      </c>
      <c r="C914" s="7" t="n">
        <f aca="false">(B914-B913)/B913*100</f>
        <v>0.690260310032175</v>
      </c>
    </row>
    <row r="915" customFormat="false" ht="15" hidden="false" customHeight="false" outlineLevel="0" collapsed="false">
      <c r="A915" s="6" t="s">
        <v>914</v>
      </c>
      <c r="B915" s="10" t="n">
        <v>5.1859</v>
      </c>
      <c r="C915" s="7" t="n">
        <f aca="false">(B915-B914)/B914*100</f>
        <v>0.426034586262326</v>
      </c>
    </row>
    <row r="916" customFormat="false" ht="15" hidden="false" customHeight="false" outlineLevel="0" collapsed="false">
      <c r="A916" s="6" t="s">
        <v>915</v>
      </c>
      <c r="B916" s="10" t="n">
        <v>5.2236</v>
      </c>
      <c r="C916" s="7" t="n">
        <f aca="false">(B916-B915)/B915*100</f>
        <v>0.726971210397425</v>
      </c>
    </row>
    <row r="917" customFormat="false" ht="15" hidden="false" customHeight="false" outlineLevel="0" collapsed="false">
      <c r="A917" s="6" t="s">
        <v>916</v>
      </c>
      <c r="B917" s="10" t="n">
        <v>5.2014</v>
      </c>
      <c r="C917" s="7" t="n">
        <f aca="false">(B917-B916)/B916*100</f>
        <v>-0.42499425683438</v>
      </c>
    </row>
    <row r="918" customFormat="false" ht="15" hidden="false" customHeight="false" outlineLevel="0" collapsed="false">
      <c r="A918" s="6" t="s">
        <v>917</v>
      </c>
      <c r="B918" s="10" t="n">
        <v>5.2043</v>
      </c>
      <c r="C918" s="7" t="n">
        <f aca="false">(B918-B917)/B917*100</f>
        <v>0.0557542200176942</v>
      </c>
    </row>
    <row r="919" customFormat="false" ht="15" hidden="false" customHeight="false" outlineLevel="0" collapsed="false">
      <c r="A919" s="6" t="s">
        <v>918</v>
      </c>
      <c r="B919" s="10" t="n">
        <v>5.1714</v>
      </c>
      <c r="C919" s="7" t="n">
        <f aca="false">(B919-B918)/B918*100</f>
        <v>-0.632169552101142</v>
      </c>
    </row>
    <row r="920" customFormat="false" ht="15" hidden="false" customHeight="false" outlineLevel="0" collapsed="false">
      <c r="A920" s="6" t="s">
        <v>919</v>
      </c>
      <c r="B920" s="10" t="n">
        <v>5.1862</v>
      </c>
      <c r="C920" s="7" t="n">
        <f aca="false">(B920-B919)/B919*100</f>
        <v>0.286189426460923</v>
      </c>
    </row>
    <row r="921" customFormat="false" ht="15" hidden="false" customHeight="false" outlineLevel="0" collapsed="false">
      <c r="A921" s="6" t="s">
        <v>920</v>
      </c>
      <c r="B921" s="10" t="n">
        <v>5.1625</v>
      </c>
      <c r="C921" s="7" t="n">
        <f aca="false">(B921-B920)/B920*100</f>
        <v>-0.456981990667555</v>
      </c>
    </row>
    <row r="922" customFormat="false" ht="15" hidden="false" customHeight="false" outlineLevel="0" collapsed="false">
      <c r="A922" s="6" t="s">
        <v>921</v>
      </c>
      <c r="B922" s="10" t="n">
        <v>5.1512</v>
      </c>
      <c r="C922" s="7" t="n">
        <f aca="false">(B922-B921)/B921*100</f>
        <v>-0.218886198547204</v>
      </c>
    </row>
    <row r="923" customFormat="false" ht="15" hidden="false" customHeight="false" outlineLevel="0" collapsed="false">
      <c r="A923" s="6" t="s">
        <v>922</v>
      </c>
      <c r="B923" s="10" t="n">
        <v>5.149</v>
      </c>
      <c r="C923" s="7" t="n">
        <f aca="false">(B923-B922)/B922*100</f>
        <v>-0.0427084951079399</v>
      </c>
    </row>
    <row r="924" customFormat="false" ht="15" hidden="false" customHeight="false" outlineLevel="0" collapsed="false">
      <c r="A924" s="6" t="s">
        <v>923</v>
      </c>
      <c r="B924" s="10" t="n">
        <v>5.1604</v>
      </c>
      <c r="C924" s="7" t="n">
        <f aca="false">(B924-B923)/B923*100</f>
        <v>0.221402214022142</v>
      </c>
    </row>
    <row r="925" customFormat="false" ht="15" hidden="false" customHeight="false" outlineLevel="0" collapsed="false">
      <c r="A925" s="6" t="s">
        <v>924</v>
      </c>
      <c r="B925" s="10" t="n">
        <v>5.1642</v>
      </c>
      <c r="C925" s="7" t="n">
        <f aca="false">(B925-B924)/B924*100</f>
        <v>0.0736377025036824</v>
      </c>
    </row>
    <row r="926" customFormat="false" ht="15" hidden="false" customHeight="false" outlineLevel="0" collapsed="false">
      <c r="A926" s="6" t="s">
        <v>925</v>
      </c>
      <c r="B926" s="10" t="n">
        <v>5.2005</v>
      </c>
      <c r="C926" s="7" t="n">
        <f aca="false">(B926-B925)/B925*100</f>
        <v>0.702916230974784</v>
      </c>
    </row>
    <row r="927" customFormat="false" ht="15" hidden="false" customHeight="false" outlineLevel="0" collapsed="false">
      <c r="A927" s="6" t="s">
        <v>926</v>
      </c>
      <c r="B927" s="10" t="n">
        <v>5.1816</v>
      </c>
      <c r="C927" s="7" t="n">
        <f aca="false">(B927-B926)/B926*100</f>
        <v>-0.363426593596759</v>
      </c>
    </row>
    <row r="928" customFormat="false" ht="15" hidden="false" customHeight="false" outlineLevel="0" collapsed="false">
      <c r="A928" s="6" t="s">
        <v>927</v>
      </c>
      <c r="B928" s="10" t="n">
        <v>5.157</v>
      </c>
      <c r="C928" s="7" t="n">
        <f aca="false">(B928-B927)/B927*100</f>
        <v>-0.474756831866613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24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1366</v>
      </c>
    </row>
    <row r="2" customFormat="false" ht="15" hidden="false" customHeight="false" outlineLevel="0" collapsed="false">
      <c r="A2" s="2" t="s">
        <v>1367</v>
      </c>
    </row>
    <row r="4" customFormat="false" ht="15" hidden="false" customHeight="false" outlineLevel="0" collapsed="false">
      <c r="A4" s="5" t="s">
        <v>1368</v>
      </c>
      <c r="B4" s="5" t="s">
        <v>1369</v>
      </c>
      <c r="C4" s="5" t="s">
        <v>2</v>
      </c>
      <c r="D4" s="5" t="s">
        <v>3</v>
      </c>
      <c r="E4" s="5" t="s">
        <v>1370</v>
      </c>
    </row>
    <row r="5" customFormat="false" ht="15" hidden="false" customHeight="false" outlineLevel="0" collapsed="false">
      <c r="A5" s="11" t="s">
        <v>1371</v>
      </c>
      <c r="B5" s="12" t="s">
        <v>1372</v>
      </c>
      <c r="C5" s="13" t="n">
        <f aca="false">1_CDI!C4</f>
        <v>1.02988862228917</v>
      </c>
      <c r="D5" s="13" t="n">
        <f aca="false">1_CDI!C5</f>
        <v>0.120000072047797</v>
      </c>
      <c r="E5" s="14" t="s">
        <v>1373</v>
      </c>
    </row>
    <row r="6" customFormat="false" ht="15" hidden="false" customHeight="false" outlineLevel="0" collapsed="false">
      <c r="A6" s="11" t="s">
        <v>1374</v>
      </c>
      <c r="B6" s="12" t="s">
        <v>1375</v>
      </c>
      <c r="C6" s="13" t="n">
        <f aca="false">2_Selic!C4</f>
        <v>1.03740950498759</v>
      </c>
      <c r="D6" s="13" t="n">
        <f aca="false">2_Selic!C5</f>
        <v>0.119447573076173</v>
      </c>
      <c r="E6" s="14" t="s">
        <v>1376</v>
      </c>
    </row>
    <row r="7" customFormat="false" ht="15" hidden="false" customHeight="false" outlineLevel="0" collapsed="false">
      <c r="A7" s="11" t="s">
        <v>1377</v>
      </c>
      <c r="B7" s="12" t="s">
        <v>1378</v>
      </c>
      <c r="C7" s="13" t="n">
        <f aca="false">3_IPCA!C6</f>
        <v>0.86220960198885</v>
      </c>
      <c r="D7" s="13" t="n">
        <f aca="false">3_IPCA!H5</f>
        <v>0.296722049450359</v>
      </c>
      <c r="E7" s="14" t="s">
        <v>1379</v>
      </c>
    </row>
    <row r="8" customFormat="false" ht="15" hidden="false" customHeight="false" outlineLevel="0" collapsed="false">
      <c r="A8" s="11" t="s">
        <v>1380</v>
      </c>
      <c r="B8" s="12" t="s">
        <v>1381</v>
      </c>
      <c r="C8" s="13" t="n">
        <f aca="false">4_Dolar!H4</f>
        <v>-0.0325453143475442</v>
      </c>
      <c r="D8" s="13" t="n">
        <f aca="false">4_Dolar!H5</f>
        <v>3.12036636752514</v>
      </c>
      <c r="E8" s="14" t="s">
        <v>1382</v>
      </c>
    </row>
    <row r="11" customFormat="false" ht="15" hidden="false" customHeight="false" outlineLevel="0" collapsed="false">
      <c r="A11" s="15" t="s">
        <v>1383</v>
      </c>
    </row>
    <row r="12" customFormat="false" ht="15" hidden="false" customHeight="false" outlineLevel="0" collapsed="false">
      <c r="A12" s="2" t="s">
        <v>1384</v>
      </c>
    </row>
    <row r="13" customFormat="false" ht="15" hidden="false" customHeight="false" outlineLevel="0" collapsed="false">
      <c r="A13" s="2" t="s">
        <v>1385</v>
      </c>
    </row>
    <row r="14" customFormat="false" ht="15" hidden="false" customHeight="false" outlineLevel="0" collapsed="false">
      <c r="A14" s="2" t="s">
        <v>1386</v>
      </c>
    </row>
    <row r="15" customFormat="false" ht="15" hidden="false" customHeight="false" outlineLevel="0" collapsed="false">
      <c r="A15" s="2" t="s">
        <v>1387</v>
      </c>
    </row>
    <row r="16" customFormat="false" ht="15" hidden="false" customHeight="false" outlineLevel="0" collapsed="false">
      <c r="A16" s="2" t="s">
        <v>1388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1389</v>
      </c>
    </row>
    <row r="2" customFormat="false" ht="15" hidden="false" customHeight="false" outlineLevel="0" collapsed="false">
      <c r="A2" s="2" t="s">
        <v>1390</v>
      </c>
    </row>
    <row r="4" customFormat="false" ht="15" hidden="false" customHeight="false" outlineLevel="0" collapsed="false">
      <c r="A4" s="3" t="s">
        <v>1391</v>
      </c>
      <c r="C4" s="16" t="n">
        <v>10000000</v>
      </c>
    </row>
    <row r="6" customFormat="false" ht="15" hidden="false" customHeight="false" outlineLevel="0" collapsed="false">
      <c r="A6" s="15" t="s">
        <v>1392</v>
      </c>
    </row>
    <row r="7" customFormat="false" ht="15" hidden="false" customHeight="false" outlineLevel="0" collapsed="false">
      <c r="A7" s="5"/>
      <c r="B7" s="5" t="s">
        <v>1393</v>
      </c>
      <c r="C7" s="5" t="s">
        <v>1394</v>
      </c>
      <c r="D7" s="5" t="s">
        <v>1395</v>
      </c>
      <c r="E7" s="5" t="s">
        <v>1396</v>
      </c>
      <c r="F7" s="5" t="s">
        <v>1397</v>
      </c>
    </row>
    <row r="8" customFormat="false" ht="15" hidden="false" customHeight="false" outlineLevel="0" collapsed="false">
      <c r="A8" s="3" t="s">
        <v>1398</v>
      </c>
      <c r="B8" s="17" t="n">
        <v>0</v>
      </c>
      <c r="C8" s="17" t="n">
        <v>0</v>
      </c>
      <c r="D8" s="17" t="n">
        <v>0</v>
      </c>
      <c r="E8" s="17" t="n">
        <v>0</v>
      </c>
      <c r="F8" s="18" t="n">
        <f aca="false">SUM(B8:E8)</f>
        <v>0</v>
      </c>
    </row>
    <row r="9" customFormat="false" ht="15" hidden="false" customHeight="false" outlineLevel="0" collapsed="false">
      <c r="A9" s="3" t="s">
        <v>1399</v>
      </c>
      <c r="B9" s="19" t="n">
        <f aca="false">B8*$C$4</f>
        <v>0</v>
      </c>
      <c r="C9" s="19" t="n">
        <f aca="false">C8*$C$4</f>
        <v>0</v>
      </c>
      <c r="D9" s="19" t="n">
        <f aca="false">D8*$C$4</f>
        <v>0</v>
      </c>
      <c r="E9" s="19" t="n">
        <f aca="false">E8*$C$4</f>
        <v>0</v>
      </c>
    </row>
    <row r="11" customFormat="false" ht="15" hidden="false" customHeight="false" outlineLevel="0" collapsed="false">
      <c r="A11" s="15" t="s">
        <v>1400</v>
      </c>
    </row>
    <row r="12" customFormat="false" ht="15" hidden="false" customHeight="false" outlineLevel="0" collapsed="false">
      <c r="A12" s="5"/>
      <c r="B12" s="5" t="s">
        <v>1371</v>
      </c>
      <c r="C12" s="5" t="s">
        <v>1374</v>
      </c>
      <c r="D12" s="5" t="s">
        <v>1377</v>
      </c>
      <c r="E12" s="5" t="s">
        <v>1380</v>
      </c>
    </row>
    <row r="13" customFormat="false" ht="15" hidden="false" customHeight="false" outlineLevel="0" collapsed="false">
      <c r="A13" s="3" t="s">
        <v>1401</v>
      </c>
      <c r="B13" s="13" t="n">
        <f aca="false">5_Parametros!C5</f>
        <v>1.02988862228917</v>
      </c>
      <c r="C13" s="13" t="n">
        <f aca="false">5_Parametros!C6</f>
        <v>1.03740950498759</v>
      </c>
      <c r="D13" s="13" t="n">
        <f aca="false">5_Parametros!C7</f>
        <v>0.86220960198885</v>
      </c>
      <c r="E13" s="13" t="n">
        <f aca="false">5_Parametros!C8</f>
        <v>-0.0325453143475442</v>
      </c>
    </row>
    <row r="15" customFormat="false" ht="15" hidden="false" customHeight="false" outlineLevel="0" collapsed="false">
      <c r="A15" s="20" t="s">
        <v>1402</v>
      </c>
      <c r="C15" s="21" t="n">
        <f aca="false">SUMPRODUCT(B13:E13,$B$8:$E$8)</f>
        <v>0</v>
      </c>
    </row>
    <row r="16" customFormat="false" ht="15" hidden="false" customHeight="false" outlineLevel="0" collapsed="false">
      <c r="A16" s="20" t="s">
        <v>1403</v>
      </c>
      <c r="C16" s="22" t="n">
        <f aca="false">C15/100*C4</f>
        <v>0</v>
      </c>
    </row>
    <row r="18" customFormat="false" ht="15" hidden="false" customHeight="false" outlineLevel="0" collapsed="false">
      <c r="A18" s="15" t="s">
        <v>1404</v>
      </c>
    </row>
    <row r="19" customFormat="false" ht="15" hidden="false" customHeight="false" outlineLevel="0" collapsed="false">
      <c r="A19" s="5" t="s">
        <v>1405</v>
      </c>
      <c r="B19" s="5" t="s">
        <v>1371</v>
      </c>
      <c r="C19" s="5" t="s">
        <v>1374</v>
      </c>
      <c r="D19" s="5" t="s">
        <v>1377</v>
      </c>
      <c r="E19" s="5" t="s">
        <v>1380</v>
      </c>
      <c r="F19" s="5" t="s">
        <v>1406</v>
      </c>
      <c r="G19" s="5" t="s">
        <v>1407</v>
      </c>
      <c r="H19" s="5" t="s">
        <v>1408</v>
      </c>
      <c r="I19" s="5" t="s">
        <v>1409</v>
      </c>
    </row>
    <row r="20" customFormat="false" ht="15" hidden="false" customHeight="false" outlineLevel="0" collapsed="false">
      <c r="A20" s="23" t="s">
        <v>1410</v>
      </c>
      <c r="B20" s="24" t="n">
        <v>1</v>
      </c>
      <c r="C20" s="24" t="n">
        <v>1</v>
      </c>
      <c r="D20" s="24" t="n">
        <v>1</v>
      </c>
      <c r="E20" s="24" t="n">
        <v>1</v>
      </c>
      <c r="F20" s="13" t="n">
        <f aca="false">SUMPRODUCT(B20:E20,$B$8:$E$8)</f>
        <v>0</v>
      </c>
      <c r="G20" s="11" t="s">
        <v>1411</v>
      </c>
      <c r="H20" s="24" t="n">
        <v>1</v>
      </c>
      <c r="I20" s="13" t="n">
        <f aca="false">H20-F20</f>
        <v>1</v>
      </c>
    </row>
    <row r="21" customFormat="false" ht="15" hidden="false" customHeight="false" outlineLevel="0" collapsed="false">
      <c r="A21" s="23" t="s">
        <v>1412</v>
      </c>
      <c r="B21" s="24" t="n">
        <v>1</v>
      </c>
      <c r="C21" s="24" t="n">
        <v>0</v>
      </c>
      <c r="D21" s="24" t="n">
        <v>0</v>
      </c>
      <c r="E21" s="24" t="n">
        <v>0</v>
      </c>
      <c r="F21" s="13" t="n">
        <f aca="false">SUMPRODUCT(B21:E21,$B$8:$E$8)</f>
        <v>0</v>
      </c>
      <c r="G21" s="11" t="s">
        <v>1413</v>
      </c>
      <c r="H21" s="24" t="n">
        <v>0.15</v>
      </c>
      <c r="I21" s="13" t="n">
        <f aca="false">H21-F21</f>
        <v>0.15</v>
      </c>
    </row>
    <row r="22" customFormat="false" ht="15" hidden="false" customHeight="false" outlineLevel="0" collapsed="false">
      <c r="A22" s="23" t="s">
        <v>1414</v>
      </c>
      <c r="B22" s="24" t="n">
        <v>0</v>
      </c>
      <c r="C22" s="24" t="n">
        <v>1</v>
      </c>
      <c r="D22" s="24" t="n">
        <v>0</v>
      </c>
      <c r="E22" s="24" t="n">
        <v>0</v>
      </c>
      <c r="F22" s="13" t="n">
        <f aca="false">SUMPRODUCT(B22:E22,$B$8:$E$8)</f>
        <v>0</v>
      </c>
      <c r="G22" s="11" t="s">
        <v>1415</v>
      </c>
      <c r="H22" s="24" t="n">
        <v>0.4</v>
      </c>
      <c r="I22" s="13" t="n">
        <f aca="false">H22-F22</f>
        <v>0.4</v>
      </c>
    </row>
    <row r="23" customFormat="false" ht="15" hidden="false" customHeight="false" outlineLevel="0" collapsed="false">
      <c r="A23" s="23" t="s">
        <v>1416</v>
      </c>
      <c r="B23" s="24" t="n">
        <v>0</v>
      </c>
      <c r="C23" s="24" t="n">
        <v>0</v>
      </c>
      <c r="D23" s="24" t="n">
        <v>1</v>
      </c>
      <c r="E23" s="24" t="n">
        <v>0</v>
      </c>
      <c r="F23" s="13" t="n">
        <f aca="false">SUMPRODUCT(B23:E23,$B$8:$E$8)</f>
        <v>0</v>
      </c>
      <c r="G23" s="11" t="s">
        <v>1413</v>
      </c>
      <c r="H23" s="24" t="n">
        <v>0.1</v>
      </c>
      <c r="I23" s="13" t="n">
        <f aca="false">H23-F23</f>
        <v>0.1</v>
      </c>
    </row>
    <row r="24" customFormat="false" ht="15" hidden="false" customHeight="false" outlineLevel="0" collapsed="false">
      <c r="A24" s="23" t="s">
        <v>1417</v>
      </c>
      <c r="B24" s="24" t="n">
        <v>0</v>
      </c>
      <c r="C24" s="24" t="n">
        <v>0</v>
      </c>
      <c r="D24" s="24" t="n">
        <v>0</v>
      </c>
      <c r="E24" s="24" t="n">
        <v>1</v>
      </c>
      <c r="F24" s="13" t="n">
        <f aca="false">SUMPRODUCT(B24:E24,$B$8:$E$8)</f>
        <v>0</v>
      </c>
      <c r="G24" s="11" t="s">
        <v>1413</v>
      </c>
      <c r="H24" s="24" t="n">
        <v>0.05</v>
      </c>
      <c r="I24" s="13" t="n">
        <f aca="false">H24-F24</f>
        <v>0.05</v>
      </c>
    </row>
    <row r="25" customFormat="false" ht="15" hidden="false" customHeight="false" outlineLevel="0" collapsed="false">
      <c r="A25" s="23" t="s">
        <v>1418</v>
      </c>
      <c r="B25" s="24" t="n">
        <v>0</v>
      </c>
      <c r="C25" s="24" t="n">
        <v>0</v>
      </c>
      <c r="D25" s="24" t="n">
        <v>0</v>
      </c>
      <c r="E25" s="24" t="n">
        <v>1</v>
      </c>
      <c r="F25" s="13" t="n">
        <f aca="false">SUMPRODUCT(B25:E25,$B$8:$E$8)</f>
        <v>0</v>
      </c>
      <c r="G25" s="11" t="s">
        <v>1415</v>
      </c>
      <c r="H25" s="24" t="n">
        <v>0.15</v>
      </c>
      <c r="I25" s="13" t="n">
        <f aca="false">H25-F25</f>
        <v>0.15</v>
      </c>
    </row>
    <row r="26" customFormat="false" ht="15" hidden="false" customHeight="false" outlineLevel="0" collapsed="false">
      <c r="A26" s="25" t="s">
        <v>1419</v>
      </c>
      <c r="B26" s="13" t="n">
        <f aca="false">5_Parametros!D5</f>
        <v>0.120000072047797</v>
      </c>
      <c r="C26" s="13" t="n">
        <f aca="false">5_Parametros!D6</f>
        <v>0.119447573076173</v>
      </c>
      <c r="D26" s="13" t="n">
        <f aca="false">5_Parametros!D7</f>
        <v>0.296722049450359</v>
      </c>
      <c r="E26" s="13" t="n">
        <f aca="false">5_Parametros!D8</f>
        <v>3.12036636752514</v>
      </c>
      <c r="F26" s="13" t="n">
        <f aca="false">SUMPRODUCT(B26:E26,$B$8:$E$8)</f>
        <v>0</v>
      </c>
      <c r="G26" s="11" t="s">
        <v>1415</v>
      </c>
      <c r="H26" s="24" t="n">
        <v>0.35</v>
      </c>
      <c r="I26" s="13" t="n">
        <f aca="false">H26-F26</f>
        <v>0.35</v>
      </c>
    </row>
    <row r="28" customFormat="false" ht="15" hidden="false" customHeight="false" outlineLevel="0" collapsed="false">
      <c r="A28" s="2" t="s">
        <v>1420</v>
      </c>
    </row>
    <row r="30" customFormat="false" ht="15" hidden="false" customHeight="false" outlineLevel="0" collapsed="false">
      <c r="A30" s="15" t="s">
        <v>1421</v>
      </c>
    </row>
    <row r="31" customFormat="false" ht="15" hidden="false" customHeight="false" outlineLevel="0" collapsed="false">
      <c r="A31" s="25" t="s">
        <v>1422</v>
      </c>
      <c r="B31" s="26" t="s">
        <v>1423</v>
      </c>
    </row>
    <row r="32" customFormat="false" ht="15" hidden="false" customHeight="false" outlineLevel="0" collapsed="false">
      <c r="A32" s="25" t="s">
        <v>1424</v>
      </c>
      <c r="B32" s="26" t="s">
        <v>1425</v>
      </c>
    </row>
    <row r="33" customFormat="false" ht="15" hidden="false" customHeight="false" outlineLevel="0" collapsed="false">
      <c r="A33" s="25" t="s">
        <v>1426</v>
      </c>
      <c r="B33" s="26" t="s">
        <v>1427</v>
      </c>
    </row>
    <row r="34" customFormat="false" ht="15" hidden="false" customHeight="false" outlineLevel="0" collapsed="false">
      <c r="A34" s="25" t="s">
        <v>1428</v>
      </c>
      <c r="B34" s="26" t="s">
        <v>1429</v>
      </c>
    </row>
    <row r="35" customFormat="false" ht="15" hidden="false" customHeight="false" outlineLevel="0" collapsed="false">
      <c r="A35" s="25" t="s">
        <v>1430</v>
      </c>
      <c r="B35" s="26" t="s">
        <v>1431</v>
      </c>
    </row>
    <row r="36" customFormat="false" ht="15" hidden="false" customHeight="false" outlineLevel="0" collapsed="false">
      <c r="A36" s="25" t="s">
        <v>1432</v>
      </c>
      <c r="B36" s="26" t="s">
        <v>1433</v>
      </c>
    </row>
    <row r="37" customFormat="false" ht="15" hidden="false" customHeight="false" outlineLevel="0" collapsed="false">
      <c r="A37" s="25" t="s">
        <v>1434</v>
      </c>
      <c r="B37" s="26" t="s">
        <v>1435</v>
      </c>
    </row>
    <row r="38" customFormat="false" ht="15" hidden="false" customHeight="false" outlineLevel="0" collapsed="false">
      <c r="A38" s="25" t="s">
        <v>1436</v>
      </c>
      <c r="B38" s="26" t="s">
        <v>1437</v>
      </c>
    </row>
    <row r="39" customFormat="false" ht="15" hidden="false" customHeight="false" outlineLevel="0" collapsed="false">
      <c r="A39" s="25" t="s">
        <v>1438</v>
      </c>
      <c r="B39" s="26" t="s">
        <v>1439</v>
      </c>
    </row>
    <row r="40" customFormat="false" ht="15" hidden="false" customHeight="false" outlineLevel="0" collapsed="false">
      <c r="A40" s="25" t="s">
        <v>1440</v>
      </c>
      <c r="B40" s="26" t="s">
        <v>1441</v>
      </c>
    </row>
    <row r="41" customFormat="false" ht="15" hidden="false" customHeight="false" outlineLevel="0" collapsed="false">
      <c r="A41" s="25" t="s">
        <v>1442</v>
      </c>
      <c r="B41" s="26" t="s">
        <v>1443</v>
      </c>
    </row>
    <row r="42" customFormat="false" ht="15" hidden="false" customHeight="false" outlineLevel="0" collapsed="false">
      <c r="A42" s="25" t="s">
        <v>1444</v>
      </c>
      <c r="B42" s="26" t="s">
        <v>1445</v>
      </c>
    </row>
    <row r="43" customFormat="false" ht="15" hidden="false" customHeight="false" outlineLevel="0" collapsed="false">
      <c r="A43" s="25" t="s">
        <v>1446</v>
      </c>
      <c r="B43" s="26" t="s">
        <v>1447</v>
      </c>
    </row>
    <row r="45" customFormat="false" ht="15" hidden="false" customHeight="false" outlineLevel="0" collapsed="false">
      <c r="A45" s="27" t="s">
        <v>1448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2026-10-06T13:33:08Z</dcterms:created>
  <dc:creator>openpyxl</dc:creator>
  <dc:description/>
  <dc:language>en-US</dc:language>
  <cp:lastModifiedBy/>
  <dcterms:modified xsi:type="dcterms:W3CDTF">2026-10-06T13:33:08Z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